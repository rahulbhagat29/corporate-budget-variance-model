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839501f79224f0b/Desktop/Portfolio/Projects/💸 PROJECT 7 —Corporate Budget vs Actual Variance Analysis Model/"/>
    </mc:Choice>
  </mc:AlternateContent>
  <xr:revisionPtr revIDLastSave="365" documentId="11_414B3A974E62A21583551B7DC22977DB166687BE" xr6:coauthVersionLast="47" xr6:coauthVersionMax="47" xr10:uidLastSave="{37EC3DE3-ECC7-45C6-B994-EFCBD981F182}"/>
  <bookViews>
    <workbookView xWindow="-98" yWindow="-98" windowWidth="21795" windowHeight="12975" tabRatio="541" xr2:uid="{00000000-000D-0000-FFFF-FFFF00000000}"/>
  </bookViews>
  <sheets>
    <sheet name="Raw_Export" sheetId="5" r:id="rId1"/>
    <sheet name="Raw_Export_Clean" sheetId="1" r:id="rId2"/>
    <sheet name="Raw_Export_Cleaned" sheetId="6" state="hidden" r:id="rId3"/>
    <sheet name="Variance Engine" sheetId="2" r:id="rId4"/>
    <sheet name="Scenario Analysis" sheetId="3" r:id="rId5"/>
    <sheet name="Dashboard" sheetId="4" r:id="rId6"/>
  </sheets>
  <definedNames>
    <definedName name="_xlnm._FilterDatabase" localSheetId="3" hidden="1">'Variance Engine'!$A$3:$K$195</definedName>
    <definedName name="ExternalData_1" localSheetId="2" hidden="1">Raw_Export_Cleaned!$A$1:$H$192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7" i="3" l="1"/>
  <c r="C47" i="3"/>
  <c r="C5" i="4"/>
  <c r="D16" i="3"/>
  <c r="H4" i="2"/>
  <c r="K4" i="2" s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I4" i="2"/>
  <c r="J4" i="2" s="1"/>
  <c r="I5" i="2"/>
  <c r="I6" i="2"/>
  <c r="J6" i="2" s="1"/>
  <c r="I7" i="2"/>
  <c r="I8" i="2"/>
  <c r="I9" i="2"/>
  <c r="I10" i="2"/>
  <c r="I11" i="2"/>
  <c r="I12" i="2"/>
  <c r="I13" i="2"/>
  <c r="I14" i="2"/>
  <c r="I15" i="2"/>
  <c r="I16" i="2"/>
  <c r="I17" i="2"/>
  <c r="J17" i="2" s="1"/>
  <c r="I18" i="2"/>
  <c r="J18" i="2" s="1"/>
  <c r="I19" i="2"/>
  <c r="J19" i="2" s="1"/>
  <c r="I20" i="2"/>
  <c r="J20" i="2" s="1"/>
  <c r="I21" i="2"/>
  <c r="I22" i="2"/>
  <c r="I23" i="2"/>
  <c r="I24" i="2"/>
  <c r="J24" i="2" s="1"/>
  <c r="I25" i="2"/>
  <c r="I26" i="2"/>
  <c r="I27" i="2"/>
  <c r="I28" i="2"/>
  <c r="I29" i="2"/>
  <c r="J29" i="2" s="1"/>
  <c r="I30" i="2"/>
  <c r="I31" i="2"/>
  <c r="I32" i="2"/>
  <c r="I33" i="2"/>
  <c r="I34" i="2"/>
  <c r="I35" i="2"/>
  <c r="I36" i="2"/>
  <c r="J36" i="2" s="1"/>
  <c r="I37" i="2"/>
  <c r="I38" i="2"/>
  <c r="J38" i="2" s="1"/>
  <c r="I39" i="2"/>
  <c r="I40" i="2"/>
  <c r="I41" i="2"/>
  <c r="I42" i="2"/>
  <c r="I43" i="2"/>
  <c r="J43" i="2" s="1"/>
  <c r="I44" i="2"/>
  <c r="I45" i="2"/>
  <c r="I46" i="2"/>
  <c r="I47" i="2"/>
  <c r="I48" i="2"/>
  <c r="I49" i="2"/>
  <c r="I50" i="2"/>
  <c r="J50" i="2" s="1"/>
  <c r="I51" i="2"/>
  <c r="J51" i="2" s="1"/>
  <c r="I52" i="2"/>
  <c r="I53" i="2"/>
  <c r="I54" i="2"/>
  <c r="I55" i="2"/>
  <c r="I56" i="2"/>
  <c r="I57" i="2"/>
  <c r="I58" i="2"/>
  <c r="I59" i="2"/>
  <c r="I60" i="2"/>
  <c r="J60" i="2" s="1"/>
  <c r="I61" i="2"/>
  <c r="J61" i="2" s="1"/>
  <c r="I62" i="2"/>
  <c r="J62" i="2" s="1"/>
  <c r="I63" i="2"/>
  <c r="I64" i="2"/>
  <c r="J64" i="2" s="1"/>
  <c r="I65" i="2"/>
  <c r="J65" i="2" s="1"/>
  <c r="I66" i="2"/>
  <c r="I67" i="2"/>
  <c r="I68" i="2"/>
  <c r="I69" i="2"/>
  <c r="I70" i="2"/>
  <c r="I71" i="2"/>
  <c r="I72" i="2"/>
  <c r="I73" i="2"/>
  <c r="I74" i="2"/>
  <c r="I75" i="2"/>
  <c r="I76" i="2"/>
  <c r="I77" i="2"/>
  <c r="J77" i="2" s="1"/>
  <c r="I78" i="2"/>
  <c r="I79" i="2"/>
  <c r="I80" i="2"/>
  <c r="I81" i="2"/>
  <c r="I82" i="2"/>
  <c r="I83" i="2"/>
  <c r="I84" i="2"/>
  <c r="I85" i="2"/>
  <c r="I86" i="2"/>
  <c r="I87" i="2"/>
  <c r="I88" i="2"/>
  <c r="I89" i="2"/>
  <c r="J89" i="2" s="1"/>
  <c r="I90" i="2"/>
  <c r="J90" i="2" s="1"/>
  <c r="I91" i="2"/>
  <c r="J91" i="2" s="1"/>
  <c r="I92" i="2"/>
  <c r="I93" i="2"/>
  <c r="I94" i="2"/>
  <c r="I95" i="2"/>
  <c r="I96" i="2"/>
  <c r="I97" i="2"/>
  <c r="I98" i="2"/>
  <c r="I99" i="2"/>
  <c r="J99" i="2" s="1"/>
  <c r="I100" i="2"/>
  <c r="I101" i="2"/>
  <c r="I102" i="2"/>
  <c r="J102" i="2" s="1"/>
  <c r="I103" i="2"/>
  <c r="J103" i="2" s="1"/>
  <c r="I104" i="2"/>
  <c r="I105" i="2"/>
  <c r="I106" i="2"/>
  <c r="I107" i="2"/>
  <c r="I108" i="2"/>
  <c r="I109" i="2"/>
  <c r="I110" i="2"/>
  <c r="I111" i="2"/>
  <c r="J111" i="2" s="1"/>
  <c r="I112" i="2"/>
  <c r="J112" i="2" s="1"/>
  <c r="I113" i="2"/>
  <c r="I114" i="2"/>
  <c r="J114" i="2" s="1"/>
  <c r="I115" i="2"/>
  <c r="I116" i="2"/>
  <c r="I117" i="2"/>
  <c r="I118" i="2"/>
  <c r="I119" i="2"/>
  <c r="I120" i="2"/>
  <c r="I121" i="2"/>
  <c r="I122" i="2"/>
  <c r="I123" i="2"/>
  <c r="I124" i="2"/>
  <c r="I125" i="2"/>
  <c r="I126" i="2"/>
  <c r="J126" i="2" s="1"/>
  <c r="I127" i="2"/>
  <c r="J127" i="2" s="1"/>
  <c r="I128" i="2"/>
  <c r="J128" i="2" s="1"/>
  <c r="I129" i="2"/>
  <c r="I130" i="2"/>
  <c r="I131" i="2"/>
  <c r="I132" i="2"/>
  <c r="J132" i="2" s="1"/>
  <c r="I133" i="2"/>
  <c r="I134" i="2"/>
  <c r="I135" i="2"/>
  <c r="I136" i="2"/>
  <c r="I137" i="2"/>
  <c r="J137" i="2" s="1"/>
  <c r="I138" i="2"/>
  <c r="J138" i="2" s="1"/>
  <c r="I139" i="2"/>
  <c r="J139" i="2" s="1"/>
  <c r="I140" i="2"/>
  <c r="I141" i="2"/>
  <c r="I142" i="2"/>
  <c r="I143" i="2"/>
  <c r="I144" i="2"/>
  <c r="J144" i="2" s="1"/>
  <c r="I145" i="2"/>
  <c r="I146" i="2"/>
  <c r="I147" i="2"/>
  <c r="I148" i="2"/>
  <c r="J148" i="2" s="1"/>
  <c r="I149" i="2"/>
  <c r="I150" i="2"/>
  <c r="J150" i="2" s="1"/>
  <c r="I151" i="2"/>
  <c r="J151" i="2" s="1"/>
  <c r="I152" i="2"/>
  <c r="I153" i="2"/>
  <c r="I154" i="2"/>
  <c r="I155" i="2"/>
  <c r="I156" i="2"/>
  <c r="I157" i="2"/>
  <c r="I158" i="2"/>
  <c r="I159" i="2"/>
  <c r="J159" i="2" s="1"/>
  <c r="I160" i="2"/>
  <c r="J160" i="2" s="1"/>
  <c r="I161" i="2"/>
  <c r="I162" i="2"/>
  <c r="J162" i="2" s="1"/>
  <c r="I163" i="2"/>
  <c r="J163" i="2" s="1"/>
  <c r="I164" i="2"/>
  <c r="I165" i="2"/>
  <c r="I166" i="2"/>
  <c r="I167" i="2"/>
  <c r="I168" i="2"/>
  <c r="I169" i="2"/>
  <c r="I170" i="2"/>
  <c r="J170" i="2" s="1"/>
  <c r="I171" i="2"/>
  <c r="I172" i="2"/>
  <c r="J172" i="2" s="1"/>
  <c r="I173" i="2"/>
  <c r="I174" i="2"/>
  <c r="I175" i="2"/>
  <c r="I176" i="2"/>
  <c r="I177" i="2"/>
  <c r="I178" i="2"/>
  <c r="I179" i="2"/>
  <c r="I180" i="2"/>
  <c r="I181" i="2"/>
  <c r="J181" i="2" s="1"/>
  <c r="I182" i="2"/>
  <c r="J182" i="2" s="1"/>
  <c r="I183" i="2"/>
  <c r="J183" i="2" s="1"/>
  <c r="I184" i="2"/>
  <c r="I185" i="2"/>
  <c r="I186" i="2"/>
  <c r="I187" i="2"/>
  <c r="J187" i="2" s="1"/>
  <c r="I188" i="2"/>
  <c r="J188" i="2" s="1"/>
  <c r="I189" i="2"/>
  <c r="I190" i="2"/>
  <c r="I191" i="2"/>
  <c r="I192" i="2"/>
  <c r="I193" i="2"/>
  <c r="I194" i="2"/>
  <c r="I195" i="2"/>
  <c r="J195" i="2" s="1"/>
  <c r="J72" i="2"/>
  <c r="J73" i="2"/>
  <c r="J109" i="2"/>
  <c r="D42" i="4"/>
  <c r="C42" i="4"/>
  <c r="D41" i="4"/>
  <c r="C41" i="4"/>
  <c r="D40" i="4"/>
  <c r="C40" i="4"/>
  <c r="D39" i="4"/>
  <c r="C39" i="4"/>
  <c r="F39" i="4" s="1"/>
  <c r="D38" i="4"/>
  <c r="C38" i="4"/>
  <c r="D37" i="4"/>
  <c r="C37" i="4"/>
  <c r="F37" i="4" s="1"/>
  <c r="D36" i="4"/>
  <c r="C36" i="4"/>
  <c r="D35" i="4"/>
  <c r="C35" i="4"/>
  <c r="S27" i="4"/>
  <c r="R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0" i="4"/>
  <c r="R10" i="4"/>
  <c r="S9" i="4"/>
  <c r="R9" i="4"/>
  <c r="S8" i="4"/>
  <c r="R8" i="4"/>
  <c r="S7" i="4"/>
  <c r="R7" i="4"/>
  <c r="S6" i="4"/>
  <c r="R6" i="4"/>
  <c r="S5" i="4"/>
  <c r="R5" i="4"/>
  <c r="H5" i="4"/>
  <c r="F5" i="4"/>
  <c r="S4" i="4"/>
  <c r="R4" i="4"/>
  <c r="S3" i="4"/>
  <c r="R3" i="4"/>
  <c r="E33" i="3"/>
  <c r="E30" i="3"/>
  <c r="C30" i="3"/>
  <c r="D30" i="3" s="1"/>
  <c r="C28" i="3"/>
  <c r="C27" i="3"/>
  <c r="D27" i="3" s="1"/>
  <c r="E27" i="3" s="1"/>
  <c r="C26" i="3"/>
  <c r="D26" i="3" s="1"/>
  <c r="E13" i="3"/>
  <c r="D13" i="3"/>
  <c r="F13" i="3" s="1"/>
  <c r="C13" i="3"/>
  <c r="C33" i="3" s="1"/>
  <c r="D33" i="3" s="1"/>
  <c r="D12" i="3"/>
  <c r="C12" i="3"/>
  <c r="F11" i="3"/>
  <c r="D11" i="3"/>
  <c r="E11" i="3" s="1"/>
  <c r="C11" i="3"/>
  <c r="C31" i="3" s="1"/>
  <c r="D31" i="3" s="1"/>
  <c r="E31" i="3" s="1"/>
  <c r="E10" i="3"/>
  <c r="D10" i="3"/>
  <c r="F10" i="3" s="1"/>
  <c r="C10" i="3"/>
  <c r="D9" i="3"/>
  <c r="C9" i="3"/>
  <c r="D8" i="3"/>
  <c r="C8" i="3"/>
  <c r="D7" i="3"/>
  <c r="F7" i="3" s="1"/>
  <c r="C7" i="3"/>
  <c r="D6" i="3"/>
  <c r="E6" i="3" s="1"/>
  <c r="C6" i="3"/>
  <c r="F6" i="3" s="1"/>
  <c r="G195" i="2"/>
  <c r="F195" i="2"/>
  <c r="E195" i="2"/>
  <c r="D195" i="2"/>
  <c r="C195" i="2"/>
  <c r="B195" i="2"/>
  <c r="A195" i="2"/>
  <c r="G194" i="2"/>
  <c r="F194" i="2"/>
  <c r="E194" i="2"/>
  <c r="D194" i="2"/>
  <c r="C194" i="2"/>
  <c r="B194" i="2"/>
  <c r="A194" i="2"/>
  <c r="G193" i="2"/>
  <c r="F193" i="2"/>
  <c r="E193" i="2"/>
  <c r="D193" i="2"/>
  <c r="C193" i="2"/>
  <c r="B193" i="2"/>
  <c r="A193" i="2"/>
  <c r="G192" i="2"/>
  <c r="F192" i="2"/>
  <c r="E192" i="2"/>
  <c r="D192" i="2"/>
  <c r="C192" i="2"/>
  <c r="B192" i="2"/>
  <c r="A192" i="2"/>
  <c r="G191" i="2"/>
  <c r="F191" i="2"/>
  <c r="E191" i="2"/>
  <c r="D191" i="2"/>
  <c r="C191" i="2"/>
  <c r="B191" i="2"/>
  <c r="A191" i="2"/>
  <c r="G190" i="2"/>
  <c r="F190" i="2"/>
  <c r="E190" i="2"/>
  <c r="D190" i="2"/>
  <c r="C190" i="2"/>
  <c r="B190" i="2"/>
  <c r="A190" i="2"/>
  <c r="G189" i="2"/>
  <c r="F189" i="2"/>
  <c r="E189" i="2"/>
  <c r="D189" i="2"/>
  <c r="C189" i="2"/>
  <c r="B189" i="2"/>
  <c r="A189" i="2"/>
  <c r="G188" i="2"/>
  <c r="F188" i="2"/>
  <c r="E188" i="2"/>
  <c r="D188" i="2"/>
  <c r="C188" i="2"/>
  <c r="B188" i="2"/>
  <c r="A188" i="2"/>
  <c r="G187" i="2"/>
  <c r="F187" i="2"/>
  <c r="E187" i="2"/>
  <c r="D187" i="2"/>
  <c r="C187" i="2"/>
  <c r="B187" i="2"/>
  <c r="A187" i="2"/>
  <c r="J186" i="2"/>
  <c r="G186" i="2"/>
  <c r="F186" i="2"/>
  <c r="E186" i="2"/>
  <c r="D186" i="2"/>
  <c r="C186" i="2"/>
  <c r="B186" i="2"/>
  <c r="A186" i="2"/>
  <c r="G185" i="2"/>
  <c r="F185" i="2"/>
  <c r="E185" i="2"/>
  <c r="D185" i="2"/>
  <c r="C185" i="2"/>
  <c r="B185" i="2"/>
  <c r="A185" i="2"/>
  <c r="G184" i="2"/>
  <c r="F184" i="2"/>
  <c r="E184" i="2"/>
  <c r="D184" i="2"/>
  <c r="C184" i="2"/>
  <c r="B184" i="2"/>
  <c r="A184" i="2"/>
  <c r="G183" i="2"/>
  <c r="F183" i="2"/>
  <c r="E183" i="2"/>
  <c r="D183" i="2"/>
  <c r="C183" i="2"/>
  <c r="B183" i="2"/>
  <c r="A183" i="2"/>
  <c r="G182" i="2"/>
  <c r="F182" i="2"/>
  <c r="E182" i="2"/>
  <c r="D182" i="2"/>
  <c r="C182" i="2"/>
  <c r="B182" i="2"/>
  <c r="A182" i="2"/>
  <c r="G181" i="2"/>
  <c r="F181" i="2"/>
  <c r="E181" i="2"/>
  <c r="D181" i="2"/>
  <c r="C181" i="2"/>
  <c r="B181" i="2"/>
  <c r="A181" i="2"/>
  <c r="G180" i="2"/>
  <c r="F180" i="2"/>
  <c r="E180" i="2"/>
  <c r="D180" i="2"/>
  <c r="C180" i="2"/>
  <c r="B180" i="2"/>
  <c r="A180" i="2"/>
  <c r="G179" i="2"/>
  <c r="F179" i="2"/>
  <c r="E179" i="2"/>
  <c r="D179" i="2"/>
  <c r="C179" i="2"/>
  <c r="B179" i="2"/>
  <c r="A179" i="2"/>
  <c r="G178" i="2"/>
  <c r="F178" i="2"/>
  <c r="E178" i="2"/>
  <c r="D178" i="2"/>
  <c r="C178" i="2"/>
  <c r="B178" i="2"/>
  <c r="A178" i="2"/>
  <c r="G177" i="2"/>
  <c r="F177" i="2"/>
  <c r="E177" i="2"/>
  <c r="D177" i="2"/>
  <c r="C177" i="2"/>
  <c r="B177" i="2"/>
  <c r="A177" i="2"/>
  <c r="G176" i="2"/>
  <c r="F176" i="2"/>
  <c r="E176" i="2"/>
  <c r="D176" i="2"/>
  <c r="C176" i="2"/>
  <c r="B176" i="2"/>
  <c r="A176" i="2"/>
  <c r="G175" i="2"/>
  <c r="F175" i="2"/>
  <c r="E175" i="2"/>
  <c r="D175" i="2"/>
  <c r="C175" i="2"/>
  <c r="B175" i="2"/>
  <c r="A175" i="2"/>
  <c r="J174" i="2"/>
  <c r="G174" i="2"/>
  <c r="F174" i="2"/>
  <c r="E174" i="2"/>
  <c r="D174" i="2"/>
  <c r="C174" i="2"/>
  <c r="B174" i="2"/>
  <c r="A174" i="2"/>
  <c r="J173" i="2"/>
  <c r="G173" i="2"/>
  <c r="F173" i="2"/>
  <c r="E173" i="2"/>
  <c r="D173" i="2"/>
  <c r="C173" i="2"/>
  <c r="B173" i="2"/>
  <c r="A173" i="2"/>
  <c r="G172" i="2"/>
  <c r="F172" i="2"/>
  <c r="E172" i="2"/>
  <c r="D172" i="2"/>
  <c r="C172" i="2"/>
  <c r="B172" i="2"/>
  <c r="A172" i="2"/>
  <c r="G171" i="2"/>
  <c r="F171" i="2"/>
  <c r="E171" i="2"/>
  <c r="D171" i="2"/>
  <c r="C171" i="2"/>
  <c r="B171" i="2"/>
  <c r="A171" i="2"/>
  <c r="G170" i="2"/>
  <c r="F170" i="2"/>
  <c r="E170" i="2"/>
  <c r="D170" i="2"/>
  <c r="C170" i="2"/>
  <c r="B170" i="2"/>
  <c r="A170" i="2"/>
  <c r="G169" i="2"/>
  <c r="F169" i="2"/>
  <c r="E169" i="2"/>
  <c r="D169" i="2"/>
  <c r="C169" i="2"/>
  <c r="B169" i="2"/>
  <c r="A169" i="2"/>
  <c r="G168" i="2"/>
  <c r="F168" i="2"/>
  <c r="E168" i="2"/>
  <c r="D168" i="2"/>
  <c r="C168" i="2"/>
  <c r="B168" i="2"/>
  <c r="A168" i="2"/>
  <c r="G167" i="2"/>
  <c r="F167" i="2"/>
  <c r="E167" i="2"/>
  <c r="D167" i="2"/>
  <c r="C167" i="2"/>
  <c r="B167" i="2"/>
  <c r="A167" i="2"/>
  <c r="G166" i="2"/>
  <c r="F166" i="2"/>
  <c r="E166" i="2"/>
  <c r="D166" i="2"/>
  <c r="C166" i="2"/>
  <c r="B166" i="2"/>
  <c r="A166" i="2"/>
  <c r="G165" i="2"/>
  <c r="F165" i="2"/>
  <c r="E165" i="2"/>
  <c r="D165" i="2"/>
  <c r="C165" i="2"/>
  <c r="B165" i="2"/>
  <c r="A165" i="2"/>
  <c r="G164" i="2"/>
  <c r="F164" i="2"/>
  <c r="E164" i="2"/>
  <c r="D164" i="2"/>
  <c r="C164" i="2"/>
  <c r="B164" i="2"/>
  <c r="A164" i="2"/>
  <c r="G163" i="2"/>
  <c r="F163" i="2"/>
  <c r="E163" i="2"/>
  <c r="D163" i="2"/>
  <c r="C163" i="2"/>
  <c r="B163" i="2"/>
  <c r="A163" i="2"/>
  <c r="G162" i="2"/>
  <c r="F162" i="2"/>
  <c r="E162" i="2"/>
  <c r="D162" i="2"/>
  <c r="C162" i="2"/>
  <c r="B162" i="2"/>
  <c r="A162" i="2"/>
  <c r="J161" i="2"/>
  <c r="G161" i="2"/>
  <c r="F161" i="2"/>
  <c r="E161" i="2"/>
  <c r="D161" i="2"/>
  <c r="C161" i="2"/>
  <c r="B161" i="2"/>
  <c r="A161" i="2"/>
  <c r="G160" i="2"/>
  <c r="F160" i="2"/>
  <c r="E160" i="2"/>
  <c r="D160" i="2"/>
  <c r="C160" i="2"/>
  <c r="B160" i="2"/>
  <c r="A160" i="2"/>
  <c r="G159" i="2"/>
  <c r="F159" i="2"/>
  <c r="E159" i="2"/>
  <c r="D159" i="2"/>
  <c r="C159" i="2"/>
  <c r="B159" i="2"/>
  <c r="A159" i="2"/>
  <c r="G158" i="2"/>
  <c r="F158" i="2"/>
  <c r="E158" i="2"/>
  <c r="D158" i="2"/>
  <c r="C158" i="2"/>
  <c r="B158" i="2"/>
  <c r="A158" i="2"/>
  <c r="G157" i="2"/>
  <c r="F157" i="2"/>
  <c r="E157" i="2"/>
  <c r="D157" i="2"/>
  <c r="C157" i="2"/>
  <c r="B157" i="2"/>
  <c r="A157" i="2"/>
  <c r="G156" i="2"/>
  <c r="F156" i="2"/>
  <c r="E156" i="2"/>
  <c r="D156" i="2"/>
  <c r="C156" i="2"/>
  <c r="B156" i="2"/>
  <c r="A156" i="2"/>
  <c r="G155" i="2"/>
  <c r="F155" i="2"/>
  <c r="E155" i="2"/>
  <c r="D155" i="2"/>
  <c r="C155" i="2"/>
  <c r="B155" i="2"/>
  <c r="A155" i="2"/>
  <c r="G154" i="2"/>
  <c r="F154" i="2"/>
  <c r="E154" i="2"/>
  <c r="D154" i="2"/>
  <c r="C154" i="2"/>
  <c r="B154" i="2"/>
  <c r="A154" i="2"/>
  <c r="G153" i="2"/>
  <c r="F153" i="2"/>
  <c r="E153" i="2"/>
  <c r="D153" i="2"/>
  <c r="C153" i="2"/>
  <c r="B153" i="2"/>
  <c r="A153" i="2"/>
  <c r="G152" i="2"/>
  <c r="F152" i="2"/>
  <c r="E152" i="2"/>
  <c r="D152" i="2"/>
  <c r="C152" i="2"/>
  <c r="B152" i="2"/>
  <c r="A152" i="2"/>
  <c r="G151" i="2"/>
  <c r="F151" i="2"/>
  <c r="E151" i="2"/>
  <c r="D151" i="2"/>
  <c r="C151" i="2"/>
  <c r="B151" i="2"/>
  <c r="A151" i="2"/>
  <c r="G150" i="2"/>
  <c r="F150" i="2"/>
  <c r="E150" i="2"/>
  <c r="D150" i="2"/>
  <c r="C150" i="2"/>
  <c r="B150" i="2"/>
  <c r="A150" i="2"/>
  <c r="G149" i="2"/>
  <c r="J149" i="2" s="1"/>
  <c r="F149" i="2"/>
  <c r="E149" i="2"/>
  <c r="D149" i="2"/>
  <c r="C149" i="2"/>
  <c r="B149" i="2"/>
  <c r="A149" i="2"/>
  <c r="G148" i="2"/>
  <c r="F148" i="2"/>
  <c r="E148" i="2"/>
  <c r="D148" i="2"/>
  <c r="C148" i="2"/>
  <c r="B148" i="2"/>
  <c r="A148" i="2"/>
  <c r="G147" i="2"/>
  <c r="F147" i="2"/>
  <c r="E147" i="2"/>
  <c r="D147" i="2"/>
  <c r="C147" i="2"/>
  <c r="B147" i="2"/>
  <c r="A147" i="2"/>
  <c r="G146" i="2"/>
  <c r="F146" i="2"/>
  <c r="E146" i="2"/>
  <c r="D146" i="2"/>
  <c r="C146" i="2"/>
  <c r="B146" i="2"/>
  <c r="A146" i="2"/>
  <c r="G145" i="2"/>
  <c r="F145" i="2"/>
  <c r="E145" i="2"/>
  <c r="D145" i="2"/>
  <c r="C145" i="2"/>
  <c r="B145" i="2"/>
  <c r="A145" i="2"/>
  <c r="G144" i="2"/>
  <c r="F144" i="2"/>
  <c r="E144" i="2"/>
  <c r="D144" i="2"/>
  <c r="C144" i="2"/>
  <c r="B144" i="2"/>
  <c r="A144" i="2"/>
  <c r="G143" i="2"/>
  <c r="F143" i="2"/>
  <c r="E143" i="2"/>
  <c r="D143" i="2"/>
  <c r="C143" i="2"/>
  <c r="B143" i="2"/>
  <c r="A143" i="2"/>
  <c r="G142" i="2"/>
  <c r="F142" i="2"/>
  <c r="E142" i="2"/>
  <c r="D142" i="2"/>
  <c r="C142" i="2"/>
  <c r="B142" i="2"/>
  <c r="A142" i="2"/>
  <c r="G141" i="2"/>
  <c r="F141" i="2"/>
  <c r="E141" i="2"/>
  <c r="D141" i="2"/>
  <c r="C141" i="2"/>
  <c r="B141" i="2"/>
  <c r="A141" i="2"/>
  <c r="G140" i="2"/>
  <c r="F140" i="2"/>
  <c r="E140" i="2"/>
  <c r="D140" i="2"/>
  <c r="C140" i="2"/>
  <c r="B140" i="2"/>
  <c r="A140" i="2"/>
  <c r="G139" i="2"/>
  <c r="F139" i="2"/>
  <c r="E139" i="2"/>
  <c r="D139" i="2"/>
  <c r="C139" i="2"/>
  <c r="B139" i="2"/>
  <c r="A139" i="2"/>
  <c r="G138" i="2"/>
  <c r="F138" i="2"/>
  <c r="E138" i="2"/>
  <c r="D138" i="2"/>
  <c r="C138" i="2"/>
  <c r="B138" i="2"/>
  <c r="A138" i="2"/>
  <c r="G137" i="2"/>
  <c r="F137" i="2"/>
  <c r="E137" i="2"/>
  <c r="D137" i="2"/>
  <c r="C137" i="2"/>
  <c r="B137" i="2"/>
  <c r="A137" i="2"/>
  <c r="G136" i="2"/>
  <c r="F136" i="2"/>
  <c r="E136" i="2"/>
  <c r="D136" i="2"/>
  <c r="C136" i="2"/>
  <c r="B136" i="2"/>
  <c r="A136" i="2"/>
  <c r="G135" i="2"/>
  <c r="F135" i="2"/>
  <c r="E135" i="2"/>
  <c r="D135" i="2"/>
  <c r="C135" i="2"/>
  <c r="B135" i="2"/>
  <c r="A135" i="2"/>
  <c r="G134" i="2"/>
  <c r="F134" i="2"/>
  <c r="E134" i="2"/>
  <c r="D134" i="2"/>
  <c r="C134" i="2"/>
  <c r="B134" i="2"/>
  <c r="A134" i="2"/>
  <c r="G133" i="2"/>
  <c r="F133" i="2"/>
  <c r="E133" i="2"/>
  <c r="D133" i="2"/>
  <c r="C133" i="2"/>
  <c r="B133" i="2"/>
  <c r="A133" i="2"/>
  <c r="G132" i="2"/>
  <c r="F132" i="2"/>
  <c r="E132" i="2"/>
  <c r="D132" i="2"/>
  <c r="C132" i="2"/>
  <c r="B132" i="2"/>
  <c r="A132" i="2"/>
  <c r="G131" i="2"/>
  <c r="F131" i="2"/>
  <c r="E131" i="2"/>
  <c r="D131" i="2"/>
  <c r="C131" i="2"/>
  <c r="B131" i="2"/>
  <c r="A131" i="2"/>
  <c r="G130" i="2"/>
  <c r="F130" i="2"/>
  <c r="E130" i="2"/>
  <c r="D130" i="2"/>
  <c r="C130" i="2"/>
  <c r="B130" i="2"/>
  <c r="A130" i="2"/>
  <c r="G129" i="2"/>
  <c r="F129" i="2"/>
  <c r="E129" i="2"/>
  <c r="D129" i="2"/>
  <c r="C129" i="2"/>
  <c r="B129" i="2"/>
  <c r="A129" i="2"/>
  <c r="G128" i="2"/>
  <c r="F128" i="2"/>
  <c r="E128" i="2"/>
  <c r="D128" i="2"/>
  <c r="C128" i="2"/>
  <c r="B128" i="2"/>
  <c r="A128" i="2"/>
  <c r="G127" i="2"/>
  <c r="F127" i="2"/>
  <c r="E127" i="2"/>
  <c r="D127" i="2"/>
  <c r="C127" i="2"/>
  <c r="B127" i="2"/>
  <c r="A127" i="2"/>
  <c r="G126" i="2"/>
  <c r="F126" i="2"/>
  <c r="E126" i="2"/>
  <c r="D126" i="2"/>
  <c r="C126" i="2"/>
  <c r="B126" i="2"/>
  <c r="A126" i="2"/>
  <c r="G125" i="2"/>
  <c r="F125" i="2"/>
  <c r="E125" i="2"/>
  <c r="D125" i="2"/>
  <c r="C125" i="2"/>
  <c r="B125" i="2"/>
  <c r="A125" i="2"/>
  <c r="G124" i="2"/>
  <c r="F124" i="2"/>
  <c r="E124" i="2"/>
  <c r="D124" i="2"/>
  <c r="C124" i="2"/>
  <c r="B124" i="2"/>
  <c r="A124" i="2"/>
  <c r="G123" i="2"/>
  <c r="F123" i="2"/>
  <c r="E123" i="2"/>
  <c r="D123" i="2"/>
  <c r="C123" i="2"/>
  <c r="B123" i="2"/>
  <c r="A123" i="2"/>
  <c r="G122" i="2"/>
  <c r="F122" i="2"/>
  <c r="E122" i="2"/>
  <c r="D122" i="2"/>
  <c r="C122" i="2"/>
  <c r="B122" i="2"/>
  <c r="A122" i="2"/>
  <c r="G121" i="2"/>
  <c r="F121" i="2"/>
  <c r="E121" i="2"/>
  <c r="D121" i="2"/>
  <c r="C121" i="2"/>
  <c r="B121" i="2"/>
  <c r="A121" i="2"/>
  <c r="G120" i="2"/>
  <c r="F120" i="2"/>
  <c r="E120" i="2"/>
  <c r="D120" i="2"/>
  <c r="C120" i="2"/>
  <c r="B120" i="2"/>
  <c r="A120" i="2"/>
  <c r="G119" i="2"/>
  <c r="F119" i="2"/>
  <c r="E119" i="2"/>
  <c r="D119" i="2"/>
  <c r="C119" i="2"/>
  <c r="B119" i="2"/>
  <c r="A119" i="2"/>
  <c r="G118" i="2"/>
  <c r="F118" i="2"/>
  <c r="E118" i="2"/>
  <c r="D118" i="2"/>
  <c r="C118" i="2"/>
  <c r="B118" i="2"/>
  <c r="A118" i="2"/>
  <c r="G117" i="2"/>
  <c r="F117" i="2"/>
  <c r="E117" i="2"/>
  <c r="D117" i="2"/>
  <c r="C117" i="2"/>
  <c r="B117" i="2"/>
  <c r="A117" i="2"/>
  <c r="G116" i="2"/>
  <c r="F116" i="2"/>
  <c r="E116" i="2"/>
  <c r="D116" i="2"/>
  <c r="C116" i="2"/>
  <c r="B116" i="2"/>
  <c r="A116" i="2"/>
  <c r="G115" i="2"/>
  <c r="F115" i="2"/>
  <c r="E115" i="2"/>
  <c r="D115" i="2"/>
  <c r="C115" i="2"/>
  <c r="B115" i="2"/>
  <c r="A115" i="2"/>
  <c r="G114" i="2"/>
  <c r="F114" i="2"/>
  <c r="E114" i="2"/>
  <c r="D114" i="2"/>
  <c r="C114" i="2"/>
  <c r="B114" i="2"/>
  <c r="A114" i="2"/>
  <c r="G113" i="2"/>
  <c r="F113" i="2"/>
  <c r="E113" i="2"/>
  <c r="D113" i="2"/>
  <c r="C113" i="2"/>
  <c r="B113" i="2"/>
  <c r="A113" i="2"/>
  <c r="G112" i="2"/>
  <c r="F112" i="2"/>
  <c r="E112" i="2"/>
  <c r="D112" i="2"/>
  <c r="C112" i="2"/>
  <c r="B112" i="2"/>
  <c r="A112" i="2"/>
  <c r="G111" i="2"/>
  <c r="F111" i="2"/>
  <c r="E111" i="2"/>
  <c r="D111" i="2"/>
  <c r="C111" i="2"/>
  <c r="B111" i="2"/>
  <c r="A111" i="2"/>
  <c r="G110" i="2"/>
  <c r="F110" i="2"/>
  <c r="E110" i="2"/>
  <c r="D110" i="2"/>
  <c r="C110" i="2"/>
  <c r="B110" i="2"/>
  <c r="A110" i="2"/>
  <c r="G109" i="2"/>
  <c r="F109" i="2"/>
  <c r="E109" i="2"/>
  <c r="D109" i="2"/>
  <c r="C109" i="2"/>
  <c r="B109" i="2"/>
  <c r="A109" i="2"/>
  <c r="G108" i="2"/>
  <c r="F108" i="2"/>
  <c r="E108" i="2"/>
  <c r="D108" i="2"/>
  <c r="C108" i="2"/>
  <c r="B108" i="2"/>
  <c r="A108" i="2"/>
  <c r="G107" i="2"/>
  <c r="F107" i="2"/>
  <c r="E107" i="2"/>
  <c r="D107" i="2"/>
  <c r="C107" i="2"/>
  <c r="B107" i="2"/>
  <c r="A107" i="2"/>
  <c r="G106" i="2"/>
  <c r="F106" i="2"/>
  <c r="E106" i="2"/>
  <c r="D106" i="2"/>
  <c r="C106" i="2"/>
  <c r="B106" i="2"/>
  <c r="A106" i="2"/>
  <c r="G105" i="2"/>
  <c r="F105" i="2"/>
  <c r="E105" i="2"/>
  <c r="D105" i="2"/>
  <c r="C105" i="2"/>
  <c r="B105" i="2"/>
  <c r="A105" i="2"/>
  <c r="G104" i="2"/>
  <c r="F104" i="2"/>
  <c r="E104" i="2"/>
  <c r="D104" i="2"/>
  <c r="C104" i="2"/>
  <c r="B104" i="2"/>
  <c r="A104" i="2"/>
  <c r="G103" i="2"/>
  <c r="F103" i="2"/>
  <c r="E103" i="2"/>
  <c r="D103" i="2"/>
  <c r="C103" i="2"/>
  <c r="B103" i="2"/>
  <c r="A103" i="2"/>
  <c r="G102" i="2"/>
  <c r="F102" i="2"/>
  <c r="E102" i="2"/>
  <c r="D102" i="2"/>
  <c r="C102" i="2"/>
  <c r="B102" i="2"/>
  <c r="A102" i="2"/>
  <c r="J101" i="2"/>
  <c r="G101" i="2"/>
  <c r="F101" i="2"/>
  <c r="E101" i="2"/>
  <c r="D101" i="2"/>
  <c r="C101" i="2"/>
  <c r="B101" i="2"/>
  <c r="A101" i="2"/>
  <c r="G100" i="2"/>
  <c r="F100" i="2"/>
  <c r="E100" i="2"/>
  <c r="D100" i="2"/>
  <c r="C100" i="2"/>
  <c r="B100" i="2"/>
  <c r="A100" i="2"/>
  <c r="G99" i="2"/>
  <c r="F99" i="2"/>
  <c r="E99" i="2"/>
  <c r="D99" i="2"/>
  <c r="C99" i="2"/>
  <c r="B99" i="2"/>
  <c r="A99" i="2"/>
  <c r="G98" i="2"/>
  <c r="F98" i="2"/>
  <c r="E98" i="2"/>
  <c r="D98" i="2"/>
  <c r="C98" i="2"/>
  <c r="B98" i="2"/>
  <c r="A98" i="2"/>
  <c r="G97" i="2"/>
  <c r="F97" i="2"/>
  <c r="E97" i="2"/>
  <c r="D97" i="2"/>
  <c r="C97" i="2"/>
  <c r="B97" i="2"/>
  <c r="A97" i="2"/>
  <c r="G96" i="2"/>
  <c r="F96" i="2"/>
  <c r="E96" i="2"/>
  <c r="D96" i="2"/>
  <c r="J96" i="2" s="1"/>
  <c r="C96" i="2"/>
  <c r="B96" i="2"/>
  <c r="A96" i="2"/>
  <c r="G95" i="2"/>
  <c r="F95" i="2"/>
  <c r="E95" i="2"/>
  <c r="D95" i="2"/>
  <c r="C95" i="2"/>
  <c r="B95" i="2"/>
  <c r="A95" i="2"/>
  <c r="G94" i="2"/>
  <c r="F94" i="2"/>
  <c r="E94" i="2"/>
  <c r="D94" i="2"/>
  <c r="C94" i="2"/>
  <c r="B94" i="2"/>
  <c r="A94" i="2"/>
  <c r="G93" i="2"/>
  <c r="F93" i="2"/>
  <c r="E93" i="2"/>
  <c r="D93" i="2"/>
  <c r="C93" i="2"/>
  <c r="B93" i="2"/>
  <c r="A93" i="2"/>
  <c r="G92" i="2"/>
  <c r="F92" i="2"/>
  <c r="E92" i="2"/>
  <c r="D92" i="2"/>
  <c r="C92" i="2"/>
  <c r="B92" i="2"/>
  <c r="A92" i="2"/>
  <c r="G91" i="2"/>
  <c r="F91" i="2"/>
  <c r="E91" i="2"/>
  <c r="D91" i="2"/>
  <c r="C91" i="2"/>
  <c r="B91" i="2"/>
  <c r="A91" i="2"/>
  <c r="G90" i="2"/>
  <c r="F90" i="2"/>
  <c r="E90" i="2"/>
  <c r="D90" i="2"/>
  <c r="C90" i="2"/>
  <c r="B90" i="2"/>
  <c r="A90" i="2"/>
  <c r="G89" i="2"/>
  <c r="F89" i="2"/>
  <c r="E89" i="2"/>
  <c r="D89" i="2"/>
  <c r="C89" i="2"/>
  <c r="B89" i="2"/>
  <c r="A89" i="2"/>
  <c r="G88" i="2"/>
  <c r="F88" i="2"/>
  <c r="E88" i="2"/>
  <c r="D88" i="2"/>
  <c r="C88" i="2"/>
  <c r="B88" i="2"/>
  <c r="A88" i="2"/>
  <c r="G87" i="2"/>
  <c r="F87" i="2"/>
  <c r="E87" i="2"/>
  <c r="D87" i="2"/>
  <c r="C87" i="2"/>
  <c r="B87" i="2"/>
  <c r="A87" i="2"/>
  <c r="G86" i="2"/>
  <c r="F86" i="2"/>
  <c r="E86" i="2"/>
  <c r="D86" i="2"/>
  <c r="C86" i="2"/>
  <c r="B86" i="2"/>
  <c r="A86" i="2"/>
  <c r="G85" i="2"/>
  <c r="F85" i="2"/>
  <c r="E85" i="2"/>
  <c r="D85" i="2"/>
  <c r="C85" i="2"/>
  <c r="B85" i="2"/>
  <c r="A85" i="2"/>
  <c r="G84" i="2"/>
  <c r="F84" i="2"/>
  <c r="J84" i="2" s="1"/>
  <c r="E84" i="2"/>
  <c r="D84" i="2"/>
  <c r="C84" i="2"/>
  <c r="B84" i="2"/>
  <c r="A84" i="2"/>
  <c r="G83" i="2"/>
  <c r="F83" i="2"/>
  <c r="E83" i="2"/>
  <c r="D83" i="2"/>
  <c r="C83" i="2"/>
  <c r="B83" i="2"/>
  <c r="A83" i="2"/>
  <c r="G82" i="2"/>
  <c r="F82" i="2"/>
  <c r="E82" i="2"/>
  <c r="D82" i="2"/>
  <c r="C82" i="2"/>
  <c r="B82" i="2"/>
  <c r="A82" i="2"/>
  <c r="G81" i="2"/>
  <c r="F81" i="2"/>
  <c r="E81" i="2"/>
  <c r="D81" i="2"/>
  <c r="C81" i="2"/>
  <c r="B81" i="2"/>
  <c r="A81" i="2"/>
  <c r="G80" i="2"/>
  <c r="F80" i="2"/>
  <c r="E80" i="2"/>
  <c r="D80" i="2"/>
  <c r="C80" i="2"/>
  <c r="B80" i="2"/>
  <c r="A80" i="2"/>
  <c r="G79" i="2"/>
  <c r="F79" i="2"/>
  <c r="E79" i="2"/>
  <c r="D79" i="2"/>
  <c r="C79" i="2"/>
  <c r="B79" i="2"/>
  <c r="A79" i="2"/>
  <c r="G78" i="2"/>
  <c r="F78" i="2"/>
  <c r="E78" i="2"/>
  <c r="D78" i="2"/>
  <c r="C78" i="2"/>
  <c r="B78" i="2"/>
  <c r="A78" i="2"/>
  <c r="G77" i="2"/>
  <c r="F77" i="2"/>
  <c r="E77" i="2"/>
  <c r="D77" i="2"/>
  <c r="C77" i="2"/>
  <c r="B77" i="2"/>
  <c r="A77" i="2"/>
  <c r="G76" i="2"/>
  <c r="F76" i="2"/>
  <c r="E76" i="2"/>
  <c r="D76" i="2"/>
  <c r="C76" i="2"/>
  <c r="B76" i="2"/>
  <c r="A76" i="2"/>
  <c r="G75" i="2"/>
  <c r="F75" i="2"/>
  <c r="E75" i="2"/>
  <c r="D75" i="2"/>
  <c r="C75" i="2"/>
  <c r="B75" i="2"/>
  <c r="A75" i="2"/>
  <c r="G74" i="2"/>
  <c r="F74" i="2"/>
  <c r="E74" i="2"/>
  <c r="D74" i="2"/>
  <c r="C74" i="2"/>
  <c r="B74" i="2"/>
  <c r="A74" i="2"/>
  <c r="G73" i="2"/>
  <c r="F73" i="2"/>
  <c r="E73" i="2"/>
  <c r="D73" i="2"/>
  <c r="C73" i="2"/>
  <c r="B73" i="2"/>
  <c r="A73" i="2"/>
  <c r="G72" i="2"/>
  <c r="F72" i="2"/>
  <c r="E72" i="2"/>
  <c r="D72" i="2"/>
  <c r="C72" i="2"/>
  <c r="B72" i="2"/>
  <c r="A72" i="2"/>
  <c r="G71" i="2"/>
  <c r="F71" i="2"/>
  <c r="E71" i="2"/>
  <c r="D71" i="2"/>
  <c r="C71" i="2"/>
  <c r="B71" i="2"/>
  <c r="A71" i="2"/>
  <c r="G70" i="2"/>
  <c r="F70" i="2"/>
  <c r="E70" i="2"/>
  <c r="D70" i="2"/>
  <c r="C70" i="2"/>
  <c r="B70" i="2"/>
  <c r="A70" i="2"/>
  <c r="G69" i="2"/>
  <c r="F69" i="2"/>
  <c r="E69" i="2"/>
  <c r="D69" i="2"/>
  <c r="C69" i="2"/>
  <c r="B69" i="2"/>
  <c r="A69" i="2"/>
  <c r="G68" i="2"/>
  <c r="F68" i="2"/>
  <c r="E68" i="2"/>
  <c r="D68" i="2"/>
  <c r="C68" i="2"/>
  <c r="B68" i="2"/>
  <c r="A68" i="2"/>
  <c r="G67" i="2"/>
  <c r="F67" i="2"/>
  <c r="E67" i="2"/>
  <c r="D67" i="2"/>
  <c r="C67" i="2"/>
  <c r="B67" i="2"/>
  <c r="A67" i="2"/>
  <c r="G66" i="2"/>
  <c r="F66" i="2"/>
  <c r="E66" i="2"/>
  <c r="D66" i="2"/>
  <c r="C66" i="2"/>
  <c r="B66" i="2"/>
  <c r="A66" i="2"/>
  <c r="G65" i="2"/>
  <c r="F65" i="2"/>
  <c r="E65" i="2"/>
  <c r="D65" i="2"/>
  <c r="C65" i="2"/>
  <c r="B65" i="2"/>
  <c r="A65" i="2"/>
  <c r="G64" i="2"/>
  <c r="F64" i="2"/>
  <c r="E64" i="2"/>
  <c r="D64" i="2"/>
  <c r="C64" i="2"/>
  <c r="B64" i="2"/>
  <c r="A64" i="2"/>
  <c r="G63" i="2"/>
  <c r="F63" i="2"/>
  <c r="E63" i="2"/>
  <c r="D63" i="2"/>
  <c r="C63" i="2"/>
  <c r="B63" i="2"/>
  <c r="A63" i="2"/>
  <c r="G62" i="2"/>
  <c r="F62" i="2"/>
  <c r="E62" i="2"/>
  <c r="D62" i="2"/>
  <c r="C62" i="2"/>
  <c r="B62" i="2"/>
  <c r="A62" i="2"/>
  <c r="G61" i="2"/>
  <c r="F61" i="2"/>
  <c r="E61" i="2"/>
  <c r="D61" i="2"/>
  <c r="C61" i="2"/>
  <c r="B61" i="2"/>
  <c r="A61" i="2"/>
  <c r="G60" i="2"/>
  <c r="F60" i="2"/>
  <c r="E60" i="2"/>
  <c r="D60" i="2"/>
  <c r="C60" i="2"/>
  <c r="B60" i="2"/>
  <c r="A60" i="2"/>
  <c r="G59" i="2"/>
  <c r="F59" i="2"/>
  <c r="E59" i="2"/>
  <c r="D59" i="2"/>
  <c r="C59" i="2"/>
  <c r="B59" i="2"/>
  <c r="A59" i="2"/>
  <c r="G58" i="2"/>
  <c r="F58" i="2"/>
  <c r="E58" i="2"/>
  <c r="D58" i="2"/>
  <c r="C58" i="2"/>
  <c r="B58" i="2"/>
  <c r="A58" i="2"/>
  <c r="G57" i="2"/>
  <c r="F57" i="2"/>
  <c r="E57" i="2"/>
  <c r="D57" i="2"/>
  <c r="C57" i="2"/>
  <c r="B57" i="2"/>
  <c r="A57" i="2"/>
  <c r="G56" i="2"/>
  <c r="F56" i="2"/>
  <c r="E56" i="2"/>
  <c r="D56" i="2"/>
  <c r="C56" i="2"/>
  <c r="B56" i="2"/>
  <c r="A56" i="2"/>
  <c r="G55" i="2"/>
  <c r="F55" i="2"/>
  <c r="E55" i="2"/>
  <c r="D55" i="2"/>
  <c r="C55" i="2"/>
  <c r="B55" i="2"/>
  <c r="A55" i="2"/>
  <c r="G54" i="2"/>
  <c r="F54" i="2"/>
  <c r="E54" i="2"/>
  <c r="D54" i="2"/>
  <c r="C54" i="2"/>
  <c r="B54" i="2"/>
  <c r="A54" i="2"/>
  <c r="G53" i="2"/>
  <c r="F53" i="2"/>
  <c r="E53" i="2"/>
  <c r="D53" i="2"/>
  <c r="C53" i="2"/>
  <c r="B53" i="2"/>
  <c r="A53" i="2"/>
  <c r="G52" i="2"/>
  <c r="F52" i="2"/>
  <c r="E52" i="2"/>
  <c r="D52" i="2"/>
  <c r="C52" i="2"/>
  <c r="B52" i="2"/>
  <c r="A52" i="2"/>
  <c r="G51" i="2"/>
  <c r="F51" i="2"/>
  <c r="E51" i="2"/>
  <c r="D51" i="2"/>
  <c r="C51" i="2"/>
  <c r="B51" i="2"/>
  <c r="A51" i="2"/>
  <c r="G50" i="2"/>
  <c r="F50" i="2"/>
  <c r="E50" i="2"/>
  <c r="D50" i="2"/>
  <c r="C50" i="2"/>
  <c r="B50" i="2"/>
  <c r="A50" i="2"/>
  <c r="G49" i="2"/>
  <c r="F49" i="2"/>
  <c r="E49" i="2"/>
  <c r="D49" i="2"/>
  <c r="C49" i="2"/>
  <c r="B49" i="2"/>
  <c r="A49" i="2"/>
  <c r="G48" i="2"/>
  <c r="F48" i="2"/>
  <c r="E48" i="2"/>
  <c r="D48" i="2"/>
  <c r="C48" i="2"/>
  <c r="B48" i="2"/>
  <c r="A48" i="2"/>
  <c r="G47" i="2"/>
  <c r="F47" i="2"/>
  <c r="E47" i="2"/>
  <c r="D47" i="2"/>
  <c r="C47" i="2"/>
  <c r="B47" i="2"/>
  <c r="A47" i="2"/>
  <c r="G46" i="2"/>
  <c r="F46" i="2"/>
  <c r="E46" i="2"/>
  <c r="D46" i="2"/>
  <c r="C46" i="2"/>
  <c r="B46" i="2"/>
  <c r="A46" i="2"/>
  <c r="G45" i="2"/>
  <c r="F45" i="2"/>
  <c r="E45" i="2"/>
  <c r="D45" i="2"/>
  <c r="C45" i="2"/>
  <c r="B45" i="2"/>
  <c r="A45" i="2"/>
  <c r="G44" i="2"/>
  <c r="F44" i="2"/>
  <c r="E44" i="2"/>
  <c r="D44" i="2"/>
  <c r="C44" i="2"/>
  <c r="B44" i="2"/>
  <c r="A44" i="2"/>
  <c r="G43" i="2"/>
  <c r="F43" i="2"/>
  <c r="E43" i="2"/>
  <c r="D43" i="2"/>
  <c r="C43" i="2"/>
  <c r="B43" i="2"/>
  <c r="A43" i="2"/>
  <c r="G42" i="2"/>
  <c r="F42" i="2"/>
  <c r="E42" i="2"/>
  <c r="D42" i="2"/>
  <c r="C42" i="2"/>
  <c r="B42" i="2"/>
  <c r="A42" i="2"/>
  <c r="G41" i="2"/>
  <c r="F41" i="2"/>
  <c r="E41" i="2"/>
  <c r="D41" i="2"/>
  <c r="C41" i="2"/>
  <c r="B41" i="2"/>
  <c r="A41" i="2"/>
  <c r="G40" i="2"/>
  <c r="F40" i="2"/>
  <c r="E40" i="2"/>
  <c r="D40" i="2"/>
  <c r="C40" i="2"/>
  <c r="B40" i="2"/>
  <c r="A40" i="2"/>
  <c r="G39" i="2"/>
  <c r="F39" i="2"/>
  <c r="E39" i="2"/>
  <c r="D39" i="2"/>
  <c r="C39" i="2"/>
  <c r="B39" i="2"/>
  <c r="A39" i="2"/>
  <c r="G38" i="2"/>
  <c r="F38" i="2"/>
  <c r="E38" i="2"/>
  <c r="D38" i="2"/>
  <c r="C38" i="2"/>
  <c r="B38" i="2"/>
  <c r="A38" i="2"/>
  <c r="G37" i="2"/>
  <c r="F37" i="2"/>
  <c r="E37" i="2"/>
  <c r="D37" i="2"/>
  <c r="C37" i="2"/>
  <c r="B37" i="2"/>
  <c r="A37" i="2"/>
  <c r="G36" i="2"/>
  <c r="F36" i="2"/>
  <c r="E36" i="2"/>
  <c r="D36" i="2"/>
  <c r="C36" i="2"/>
  <c r="B36" i="2"/>
  <c r="A36" i="2"/>
  <c r="G35" i="2"/>
  <c r="F35" i="2"/>
  <c r="E35" i="2"/>
  <c r="D35" i="2"/>
  <c r="C35" i="2"/>
  <c r="B35" i="2"/>
  <c r="A35" i="2"/>
  <c r="G34" i="2"/>
  <c r="F34" i="2"/>
  <c r="E34" i="2"/>
  <c r="D34" i="2"/>
  <c r="C34" i="2"/>
  <c r="B34" i="2"/>
  <c r="A34" i="2"/>
  <c r="G33" i="2"/>
  <c r="F33" i="2"/>
  <c r="E33" i="2"/>
  <c r="D33" i="2"/>
  <c r="C33" i="2"/>
  <c r="B33" i="2"/>
  <c r="A33" i="2"/>
  <c r="G32" i="2"/>
  <c r="F32" i="2"/>
  <c r="E32" i="2"/>
  <c r="D32" i="2"/>
  <c r="C32" i="2"/>
  <c r="B32" i="2"/>
  <c r="A32" i="2"/>
  <c r="G31" i="2"/>
  <c r="F31" i="2"/>
  <c r="E31" i="2"/>
  <c r="D31" i="2"/>
  <c r="C31" i="2"/>
  <c r="B31" i="2"/>
  <c r="A31" i="2"/>
  <c r="G30" i="2"/>
  <c r="F30" i="2"/>
  <c r="E30" i="2"/>
  <c r="D30" i="2"/>
  <c r="C30" i="2"/>
  <c r="B30" i="2"/>
  <c r="A30" i="2"/>
  <c r="G29" i="2"/>
  <c r="F29" i="2"/>
  <c r="E29" i="2"/>
  <c r="D29" i="2"/>
  <c r="C29" i="2"/>
  <c r="B29" i="2"/>
  <c r="A29" i="2"/>
  <c r="G28" i="2"/>
  <c r="F28" i="2"/>
  <c r="E28" i="2"/>
  <c r="D28" i="2"/>
  <c r="C28" i="2"/>
  <c r="B28" i="2"/>
  <c r="A28" i="2"/>
  <c r="G27" i="2"/>
  <c r="F27" i="2"/>
  <c r="E27" i="2"/>
  <c r="D27" i="2"/>
  <c r="C27" i="2"/>
  <c r="B27" i="2"/>
  <c r="A27" i="2"/>
  <c r="G26" i="2"/>
  <c r="F26" i="2"/>
  <c r="E26" i="2"/>
  <c r="D26" i="2"/>
  <c r="C26" i="2"/>
  <c r="B26" i="2"/>
  <c r="A26" i="2"/>
  <c r="G25" i="2"/>
  <c r="F25" i="2"/>
  <c r="E25" i="2"/>
  <c r="D25" i="2"/>
  <c r="J25" i="2" s="1"/>
  <c r="C25" i="2"/>
  <c r="B25" i="2"/>
  <c r="A25" i="2"/>
  <c r="G24" i="2"/>
  <c r="F24" i="2"/>
  <c r="E24" i="2"/>
  <c r="D24" i="2"/>
  <c r="C24" i="2"/>
  <c r="B24" i="2"/>
  <c r="A24" i="2"/>
  <c r="G23" i="2"/>
  <c r="F23" i="2"/>
  <c r="E23" i="2"/>
  <c r="D23" i="2"/>
  <c r="C23" i="2"/>
  <c r="B23" i="2"/>
  <c r="A23" i="2"/>
  <c r="G22" i="2"/>
  <c r="F22" i="2"/>
  <c r="E22" i="2"/>
  <c r="D22" i="2"/>
  <c r="C22" i="2"/>
  <c r="B22" i="2"/>
  <c r="A22" i="2"/>
  <c r="G21" i="2"/>
  <c r="F21" i="2"/>
  <c r="E21" i="2"/>
  <c r="D21" i="2"/>
  <c r="C21" i="2"/>
  <c r="B21" i="2"/>
  <c r="A21" i="2"/>
  <c r="G20" i="2"/>
  <c r="F20" i="2"/>
  <c r="E20" i="2"/>
  <c r="D20" i="2"/>
  <c r="C20" i="2"/>
  <c r="B20" i="2"/>
  <c r="A20" i="2"/>
  <c r="G19" i="2"/>
  <c r="F19" i="2"/>
  <c r="E19" i="2"/>
  <c r="D19" i="2"/>
  <c r="C19" i="2"/>
  <c r="B19" i="2"/>
  <c r="A19" i="2"/>
  <c r="G18" i="2"/>
  <c r="F18" i="2"/>
  <c r="E18" i="2"/>
  <c r="D18" i="2"/>
  <c r="C18" i="2"/>
  <c r="B18" i="2"/>
  <c r="A18" i="2"/>
  <c r="G17" i="2"/>
  <c r="F17" i="2"/>
  <c r="E17" i="2"/>
  <c r="D17" i="2"/>
  <c r="C17" i="2"/>
  <c r="B17" i="2"/>
  <c r="A17" i="2"/>
  <c r="G16" i="2"/>
  <c r="F16" i="2"/>
  <c r="E16" i="2"/>
  <c r="D16" i="2"/>
  <c r="C16" i="2"/>
  <c r="B16" i="2"/>
  <c r="A16" i="2"/>
  <c r="G15" i="2"/>
  <c r="F15" i="2"/>
  <c r="E15" i="2"/>
  <c r="D15" i="2"/>
  <c r="C15" i="2"/>
  <c r="B15" i="2"/>
  <c r="A15" i="2"/>
  <c r="G14" i="2"/>
  <c r="F14" i="2"/>
  <c r="E14" i="2"/>
  <c r="D14" i="2"/>
  <c r="C14" i="2"/>
  <c r="B14" i="2"/>
  <c r="A14" i="2"/>
  <c r="G13" i="2"/>
  <c r="F13" i="2"/>
  <c r="E13" i="2"/>
  <c r="D13" i="2"/>
  <c r="C13" i="2"/>
  <c r="B13" i="2"/>
  <c r="A13" i="2"/>
  <c r="G12" i="2"/>
  <c r="F12" i="2"/>
  <c r="E12" i="2"/>
  <c r="D12" i="2"/>
  <c r="J12" i="2" s="1"/>
  <c r="C12" i="2"/>
  <c r="B12" i="2"/>
  <c r="A12" i="2"/>
  <c r="G11" i="2"/>
  <c r="F11" i="2"/>
  <c r="E11" i="2"/>
  <c r="D11" i="2"/>
  <c r="C11" i="2"/>
  <c r="B11" i="2"/>
  <c r="A11" i="2"/>
  <c r="G10" i="2"/>
  <c r="F10" i="2"/>
  <c r="E10" i="2"/>
  <c r="D10" i="2"/>
  <c r="C10" i="2"/>
  <c r="B10" i="2"/>
  <c r="A10" i="2"/>
  <c r="G9" i="2"/>
  <c r="F9" i="2"/>
  <c r="E9" i="2"/>
  <c r="D9" i="2"/>
  <c r="C9" i="2"/>
  <c r="B9" i="2"/>
  <c r="A9" i="2"/>
  <c r="G8" i="2"/>
  <c r="F8" i="2"/>
  <c r="E8" i="2"/>
  <c r="D8" i="2"/>
  <c r="C8" i="2"/>
  <c r="B8" i="2"/>
  <c r="A8" i="2"/>
  <c r="G7" i="2"/>
  <c r="F7" i="2"/>
  <c r="E7" i="2"/>
  <c r="D7" i="2"/>
  <c r="C7" i="2"/>
  <c r="B7" i="2"/>
  <c r="A7" i="2"/>
  <c r="G6" i="2"/>
  <c r="F6" i="2"/>
  <c r="E6" i="2"/>
  <c r="D6" i="2"/>
  <c r="C6" i="2"/>
  <c r="B6" i="2"/>
  <c r="A6" i="2"/>
  <c r="J5" i="2"/>
  <c r="G5" i="2"/>
  <c r="F5" i="2"/>
  <c r="E5" i="2"/>
  <c r="D5" i="2"/>
  <c r="C5" i="2"/>
  <c r="B5" i="2"/>
  <c r="A5" i="2"/>
  <c r="G4" i="2"/>
  <c r="F4" i="2"/>
  <c r="E4" i="2"/>
  <c r="D4" i="2"/>
  <c r="C4" i="2"/>
  <c r="B4" i="2"/>
  <c r="A4" i="2"/>
  <c r="J30" i="2" l="1"/>
  <c r="J93" i="2"/>
  <c r="J32" i="2"/>
  <c r="J8" i="2"/>
  <c r="J9" i="2"/>
  <c r="J189" i="2"/>
  <c r="J152" i="2"/>
  <c r="J141" i="2"/>
  <c r="J119" i="2"/>
  <c r="J67" i="2"/>
  <c r="J35" i="2"/>
  <c r="J47" i="2"/>
  <c r="J81" i="2"/>
  <c r="J66" i="2"/>
  <c r="J175" i="2"/>
  <c r="J113" i="2"/>
  <c r="J7" i="2"/>
  <c r="J78" i="2"/>
  <c r="J54" i="2"/>
  <c r="J41" i="2"/>
  <c r="J74" i="2"/>
  <c r="J168" i="2"/>
  <c r="J58" i="2"/>
  <c r="J55" i="2"/>
  <c r="J145" i="2"/>
  <c r="J157" i="2"/>
  <c r="J122" i="2"/>
  <c r="J140" i="2"/>
  <c r="J142" i="2"/>
  <c r="J15" i="2"/>
  <c r="J171" i="2"/>
  <c r="J184" i="2"/>
  <c r="J124" i="2"/>
  <c r="J88" i="2"/>
  <c r="J147" i="2"/>
  <c r="J40" i="2"/>
  <c r="J63" i="2"/>
  <c r="J85" i="2"/>
  <c r="J108" i="2"/>
  <c r="J167" i="2"/>
  <c r="J193" i="2"/>
  <c r="J14" i="2"/>
  <c r="J27" i="2"/>
  <c r="J34" i="2"/>
  <c r="J59" i="2"/>
  <c r="J118" i="2"/>
  <c r="J37" i="2"/>
  <c r="J52" i="2"/>
  <c r="J75" i="2"/>
  <c r="J97" i="2"/>
  <c r="J100" i="2"/>
  <c r="J123" i="2"/>
  <c r="J133" i="2"/>
  <c r="J136" i="2"/>
  <c r="J156" i="2"/>
  <c r="J177" i="2"/>
  <c r="J16" i="2"/>
  <c r="J49" i="2"/>
  <c r="J164" i="2"/>
  <c r="J31" i="2"/>
  <c r="J39" i="2"/>
  <c r="J69" i="2"/>
  <c r="J107" i="2"/>
  <c r="J115" i="2"/>
  <c r="J179" i="2"/>
  <c r="J79" i="2"/>
  <c r="J110" i="2"/>
  <c r="J153" i="2"/>
  <c r="J169" i="2"/>
  <c r="J192" i="2"/>
  <c r="F40" i="4"/>
  <c r="F35" i="4"/>
  <c r="F41" i="4"/>
  <c r="E36" i="4"/>
  <c r="E42" i="4"/>
  <c r="F36" i="4"/>
  <c r="F42" i="4"/>
  <c r="E37" i="4"/>
  <c r="F38" i="4"/>
  <c r="E39" i="4"/>
  <c r="E40" i="4"/>
  <c r="E35" i="4"/>
  <c r="J56" i="2"/>
  <c r="J125" i="2"/>
  <c r="J86" i="2"/>
  <c r="J135" i="2"/>
  <c r="F12" i="3"/>
  <c r="C32" i="3"/>
  <c r="D32" i="3" s="1"/>
  <c r="E32" i="3" s="1"/>
  <c r="K42" i="2"/>
  <c r="K19" i="2"/>
  <c r="K143" i="2"/>
  <c r="K11" i="2"/>
  <c r="J21" i="2"/>
  <c r="J28" i="2"/>
  <c r="J71" i="2"/>
  <c r="J98" i="2"/>
  <c r="J185" i="2"/>
  <c r="C14" i="3"/>
  <c r="F8" i="3"/>
  <c r="E8" i="3"/>
  <c r="J13" i="2"/>
  <c r="J48" i="2"/>
  <c r="J68" i="2"/>
  <c r="J158" i="2"/>
  <c r="K55" i="2"/>
  <c r="K7" i="2"/>
  <c r="K22" i="2"/>
  <c r="K187" i="2"/>
  <c r="K6" i="2"/>
  <c r="D28" i="3"/>
  <c r="E28" i="3" s="1"/>
  <c r="C34" i="3"/>
  <c r="K5" i="2"/>
  <c r="J11" i="2"/>
  <c r="J22" i="2"/>
  <c r="J26" i="2"/>
  <c r="C29" i="3"/>
  <c r="F9" i="3"/>
  <c r="C15" i="3"/>
  <c r="J116" i="2"/>
  <c r="J70" i="2"/>
  <c r="J80" i="2"/>
  <c r="J33" i="2"/>
  <c r="J44" i="2"/>
  <c r="K63" i="2"/>
  <c r="J87" i="2"/>
  <c r="J194" i="2"/>
  <c r="J105" i="2"/>
  <c r="J117" i="2"/>
  <c r="J134" i="2"/>
  <c r="E12" i="3"/>
  <c r="J120" i="2"/>
  <c r="J130" i="2"/>
  <c r="J165" i="2"/>
  <c r="J180" i="2"/>
  <c r="J104" i="2"/>
  <c r="J95" i="2"/>
  <c r="E26" i="3"/>
  <c r="E9" i="3"/>
  <c r="K151" i="2"/>
  <c r="J76" i="2"/>
  <c r="J154" i="2"/>
  <c r="J23" i="2"/>
  <c r="K90" i="2"/>
  <c r="J106" i="2"/>
  <c r="J190" i="2"/>
  <c r="K190" i="2"/>
  <c r="J146" i="2"/>
  <c r="J129" i="2"/>
  <c r="J57" i="2"/>
  <c r="J121" i="2"/>
  <c r="J10" i="2"/>
  <c r="J42" i="2"/>
  <c r="J46" i="2"/>
  <c r="J53" i="2"/>
  <c r="J83" i="2"/>
  <c r="J92" i="2"/>
  <c r="K141" i="2"/>
  <c r="J166" i="2"/>
  <c r="J176" i="2"/>
  <c r="E38" i="4"/>
  <c r="D14" i="3"/>
  <c r="J178" i="2"/>
  <c r="J191" i="2"/>
  <c r="E41" i="4"/>
  <c r="J82" i="2"/>
  <c r="J131" i="2"/>
  <c r="J155" i="2"/>
  <c r="K166" i="2"/>
  <c r="J45" i="2"/>
  <c r="J94" i="2"/>
  <c r="J143" i="2"/>
  <c r="E7" i="3"/>
  <c r="D15" i="3"/>
  <c r="E15" i="3" s="1"/>
  <c r="K180" i="2"/>
  <c r="K109" i="2" l="1"/>
  <c r="K18" i="2"/>
  <c r="K155" i="2"/>
  <c r="K56" i="2"/>
  <c r="K36" i="2"/>
  <c r="K41" i="2"/>
  <c r="K80" i="2"/>
  <c r="K60" i="2"/>
  <c r="D34" i="3"/>
  <c r="K185" i="2"/>
  <c r="K40" i="2"/>
  <c r="K29" i="2"/>
  <c r="K87" i="2"/>
  <c r="K133" i="2"/>
  <c r="K98" i="2"/>
  <c r="K100" i="2"/>
  <c r="K62" i="2"/>
  <c r="K159" i="2"/>
  <c r="K126" i="2"/>
  <c r="K72" i="2"/>
  <c r="K23" i="2"/>
  <c r="K167" i="2"/>
  <c r="K32" i="2"/>
  <c r="K9" i="2"/>
  <c r="K172" i="2"/>
  <c r="K101" i="2"/>
  <c r="K58" i="2"/>
  <c r="K173" i="2"/>
  <c r="K174" i="2"/>
  <c r="K79" i="2"/>
  <c r="K128" i="2"/>
  <c r="K67" i="2"/>
  <c r="K45" i="2"/>
  <c r="K69" i="2"/>
  <c r="K112" i="2"/>
  <c r="K195" i="2"/>
  <c r="K75" i="2"/>
  <c r="K84" i="2"/>
  <c r="K35" i="2"/>
  <c r="K179" i="2"/>
  <c r="K99" i="2"/>
  <c r="K16" i="2"/>
  <c r="K51" i="2"/>
  <c r="K123" i="2"/>
  <c r="K78" i="2"/>
  <c r="K153" i="2"/>
  <c r="K165" i="2"/>
  <c r="K52" i="2"/>
  <c r="K14" i="2"/>
  <c r="K178" i="2"/>
  <c r="K131" i="2"/>
  <c r="K124" i="2"/>
  <c r="K162" i="2"/>
  <c r="K142" i="2"/>
  <c r="K186" i="2"/>
  <c r="K194" i="2"/>
  <c r="K21" i="2"/>
  <c r="K105" i="2"/>
  <c r="K8" i="2"/>
  <c r="K13" i="2"/>
  <c r="K81" i="2"/>
  <c r="K111" i="2"/>
  <c r="K125" i="2"/>
  <c r="K149" i="2"/>
  <c r="K120" i="2"/>
  <c r="K71" i="2"/>
  <c r="K10" i="2"/>
  <c r="K104" i="2"/>
  <c r="K177" i="2"/>
  <c r="D29" i="3"/>
  <c r="C35" i="3"/>
  <c r="K171" i="2"/>
  <c r="K30" i="2"/>
  <c r="K182" i="2"/>
  <c r="K163" i="2"/>
  <c r="K161" i="2"/>
  <c r="K47" i="2"/>
  <c r="K146" i="2"/>
  <c r="K164" i="2"/>
  <c r="K49" i="2"/>
  <c r="K59" i="2"/>
  <c r="K189" i="2"/>
  <c r="K82" i="2"/>
  <c r="K86" i="2"/>
  <c r="K183" i="2"/>
  <c r="K140" i="2"/>
  <c r="K148" i="2"/>
  <c r="K132" i="2"/>
  <c r="K83" i="2"/>
  <c r="K38" i="2"/>
  <c r="K15" i="2"/>
  <c r="K48" i="2"/>
  <c r="K92" i="2"/>
  <c r="K169" i="2"/>
  <c r="K114" i="2"/>
  <c r="K25" i="2"/>
  <c r="K139" i="2"/>
  <c r="K57" i="2"/>
  <c r="K117" i="2"/>
  <c r="K28" i="2"/>
  <c r="K191" i="2"/>
  <c r="K68" i="2"/>
  <c r="K116" i="2"/>
  <c r="K137" i="2"/>
  <c r="K113" i="2"/>
  <c r="K176" i="2"/>
  <c r="K66" i="2"/>
  <c r="K136" i="2"/>
  <c r="K188" i="2"/>
  <c r="K184" i="2"/>
  <c r="K144" i="2"/>
  <c r="K95" i="2"/>
  <c r="K103" i="2"/>
  <c r="K64" i="2"/>
  <c r="K192" i="2"/>
  <c r="K53" i="2"/>
  <c r="K43" i="2"/>
  <c r="K88" i="2"/>
  <c r="K46" i="2"/>
  <c r="K54" i="2"/>
  <c r="K33" i="2"/>
  <c r="K145" i="2"/>
  <c r="K121" i="2"/>
  <c r="K102" i="2"/>
  <c r="K108" i="2"/>
  <c r="K106" i="2"/>
  <c r="K44" i="2"/>
  <c r="K93" i="2"/>
  <c r="K76" i="2"/>
  <c r="K147" i="2"/>
  <c r="K97" i="2"/>
  <c r="F15" i="3"/>
  <c r="K115" i="2"/>
  <c r="K27" i="2"/>
  <c r="K61" i="2"/>
  <c r="C16" i="3"/>
  <c r="A5" i="4" s="1"/>
  <c r="F14" i="3"/>
  <c r="K127" i="2"/>
  <c r="K50" i="2"/>
  <c r="K12" i="2"/>
  <c r="K156" i="2"/>
  <c r="K107" i="2"/>
  <c r="K91" i="2"/>
  <c r="K20" i="2"/>
  <c r="K154" i="2"/>
  <c r="K89" i="2"/>
  <c r="K138" i="2"/>
  <c r="K152" i="2"/>
  <c r="E14" i="3"/>
  <c r="K26" i="2"/>
  <c r="K150" i="2"/>
  <c r="K96" i="2"/>
  <c r="K77" i="2"/>
  <c r="K118" i="2"/>
  <c r="K135" i="2"/>
  <c r="K74" i="2"/>
  <c r="K170" i="2"/>
  <c r="K193" i="2"/>
  <c r="K73" i="2"/>
  <c r="K129" i="2"/>
  <c r="K94" i="2"/>
  <c r="K158" i="2"/>
  <c r="K39" i="2"/>
  <c r="K181" i="2"/>
  <c r="K17" i="2"/>
  <c r="K122" i="2"/>
  <c r="K157" i="2"/>
  <c r="K134" i="2"/>
  <c r="K70" i="2"/>
  <c r="K65" i="2"/>
  <c r="C36" i="3"/>
  <c r="K85" i="2"/>
  <c r="K130" i="2"/>
  <c r="K34" i="2"/>
  <c r="K175" i="2"/>
  <c r="K160" i="2"/>
  <c r="K24" i="2"/>
  <c r="K168" i="2"/>
  <c r="K119" i="2"/>
  <c r="K31" i="2"/>
  <c r="K110" i="2"/>
  <c r="K37" i="2"/>
  <c r="D35" i="3" l="1"/>
  <c r="E35" i="3" s="1"/>
  <c r="E29" i="3"/>
  <c r="D36" i="3"/>
  <c r="E36" i="3" s="1"/>
  <c r="E34" i="3"/>
  <c r="E3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CBC8B8-CE66-457E-9FC6-98300CBC60E6}" keepAlive="1" name="Query - Raw_Export (2)" description="Connection to the 'Raw_Export (2)' query in the workbook." type="5" refreshedVersion="8" background="1" saveData="1">
    <dbPr connection="Provider=Microsoft.Mashup.OleDb.1;Data Source=$Workbook$;Location=&quot;Raw_Export (2)&quot;;Extended Properties=&quot;&quot;" command="SELECT * FROM [Raw_Export (2)]"/>
  </connection>
</connections>
</file>

<file path=xl/sharedStrings.xml><?xml version="1.0" encoding="utf-8"?>
<sst xmlns="http://schemas.openxmlformats.org/spreadsheetml/2006/main" count="4412" uniqueCount="499">
  <si>
    <t>MidCore Industries Pvt Ltd — Budget vs Actual Data (FY2023–FY2024)</t>
  </si>
  <si>
    <t>Unit: ₹ Lakhs | Source: Synthetic dataset modelled on Indian mid-market manufacturing benchmarks</t>
  </si>
  <si>
    <t>Month</t>
  </si>
  <si>
    <t>FY</t>
  </si>
  <si>
    <t>Quarter</t>
  </si>
  <si>
    <t>Category</t>
  </si>
  <si>
    <t>Line Item</t>
  </si>
  <si>
    <t>Budget (₹ L)</t>
  </si>
  <si>
    <t>Actual (₹ L)</t>
  </si>
  <si>
    <t>Assumption Note</t>
  </si>
  <si>
    <t>Apr-22</t>
  </si>
  <si>
    <t>FY23</t>
  </si>
  <si>
    <t>Q1</t>
  </si>
  <si>
    <t>Revenue</t>
  </si>
  <si>
    <t>Product A</t>
  </si>
  <si>
    <t>Core manufactured product; 50% revenue share; seasonal Q3 peak (festive demand)</t>
  </si>
  <si>
    <t>Product B</t>
  </si>
  <si>
    <t>Legacy product line; declining due to market share loss; budgeted conservatively</t>
  </si>
  <si>
    <t>Services</t>
  </si>
  <si>
    <t>After-sales and maintenance contracts; growing segment; sticky recurring revenue</t>
  </si>
  <si>
    <t>Cost</t>
  </si>
  <si>
    <t>Operations</t>
  </si>
  <si>
    <t>Manufacturing + COGS + overhead; 45% of revenue; input cost inflation trend FY24</t>
  </si>
  <si>
    <t>Sales</t>
  </si>
  <si>
    <t>Field sales team + incentive payouts; ~10% of revenue; stable cost base</t>
  </si>
  <si>
    <t>Marketing</t>
  </si>
  <si>
    <t>Brand + digital spends; FY24 overrun due to new product launch campaign</t>
  </si>
  <si>
    <t>HR</t>
  </si>
  <si>
    <t>Salaries + benefits + attrition replacement; slight overrun from mid-year hiring</t>
  </si>
  <si>
    <t>Finance &amp; Admin</t>
  </si>
  <si>
    <t>Compliance, audit, office admin; tightly controlled; near-budget historically</t>
  </si>
  <si>
    <t>May-22</t>
  </si>
  <si>
    <t>Jun-22</t>
  </si>
  <si>
    <t>Jul-22</t>
  </si>
  <si>
    <t>Q2</t>
  </si>
  <si>
    <t>Aug-22</t>
  </si>
  <si>
    <t>Sep-22</t>
  </si>
  <si>
    <t>Oct-22</t>
  </si>
  <si>
    <t>Q3</t>
  </si>
  <si>
    <t>Nov-22</t>
  </si>
  <si>
    <t>Dec-22</t>
  </si>
  <si>
    <t>Jan-23</t>
  </si>
  <si>
    <t>Q4</t>
  </si>
  <si>
    <t>Feb-23</t>
  </si>
  <si>
    <t>Mar-23</t>
  </si>
  <si>
    <t>Apr-23</t>
  </si>
  <si>
    <t>FY24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</si>
  <si>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</si>
  <si>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</si>
  <si>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</si>
  <si>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</si>
  <si>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</si>
  <si>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</si>
  <si>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</si>
  <si>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</si>
  <si>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</si>
  <si>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</si>
  <si>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</si>
  <si>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MidCore Industries Pvt Ltd — Variance Analysis Engine</t>
  </si>
  <si>
    <t>Formulas pull from Data sheet | Green = favourable | Amber = watch | Red = adverse</t>
  </si>
  <si>
    <t>Abs Variance (₹ L)</t>
  </si>
  <si>
    <t>% Variance</t>
  </si>
  <si>
    <t>RAG Status</t>
  </si>
  <si>
    <t>YTD Cumulative Variance (₹ L)</t>
  </si>
  <si>
    <t>MidCore Industries Pvt Ltd — Scenario &amp; Sensitivity Analysis</t>
  </si>
  <si>
    <t>Stress-tests FY24 P&amp;L under revenue shortfall and cost overrun scenarios | Unit: ₹ Lakhs</t>
  </si>
  <si>
    <t>This sheet will contain: Two-variable sensitivity table | Scenario Manager (Base / Moderate Stress / Severe Stress)</t>
  </si>
  <si>
    <t>SECTION 1: FY24 BASE P&amp;L SUMMARY</t>
  </si>
  <si>
    <t>Total Revenue</t>
  </si>
  <si>
    <t>Total Cost</t>
  </si>
  <si>
    <t>Net P&amp;L (Budget)</t>
  </si>
  <si>
    <t>SECTION 2: SCENARIO INPUTS</t>
  </si>
  <si>
    <t>Input Parameter</t>
  </si>
  <si>
    <t>Value</t>
  </si>
  <si>
    <t>Meaning</t>
  </si>
  <si>
    <t>Revenue Stress %</t>
  </si>
  <si>
    <t>Reduce total FY24 budgeted revenue by this %. Simulates demand shortfall or market loss.</t>
  </si>
  <si>
    <t>Cost Overrun %</t>
  </si>
  <si>
    <t>Increase total FY24 budgeted costs by this %. Simulates input inflation or budget breach.</t>
  </si>
  <si>
    <t>Change the yellow cells above. All stressed figures in Section 3 update automatically.</t>
  </si>
  <si>
    <t>SECTION 3: STRESSED P&amp;L</t>
  </si>
  <si>
    <t>Base Budget (₹ L)</t>
  </si>
  <si>
    <t>Stressed Revenue/Cost (₹ L)</t>
  </si>
  <si>
    <t>Stress Impact (₹ L)</t>
  </si>
  <si>
    <t>Stressed Total Revenue</t>
  </si>
  <si>
    <t>Stressed Total Cost</t>
  </si>
  <si>
    <t>Stressed Net P&amp;L</t>
  </si>
  <si>
    <t>P&amp;L Impact as % of Base Budget P&amp;L</t>
  </si>
  <si>
    <t>SECTION 4: NAMED SCENARIO COMPARISON</t>
  </si>
  <si>
    <t>Metric</t>
  </si>
  <si>
    <t>Base Case</t>
  </si>
  <si>
    <t>Moderate Stress</t>
  </si>
  <si>
    <t>Severe Stress</t>
  </si>
  <si>
    <t>Stressed Revenue (₹ L)</t>
  </si>
  <si>
    <t>Stressed Cost (₹ L)</t>
  </si>
  <si>
    <t>Net P&amp;L (₹ L)</t>
  </si>
  <si>
    <t>P&amp;L Margin %</t>
  </si>
  <si>
    <t>P&amp;L vs Base (₹ L)</t>
  </si>
  <si>
    <t>SECTION 5: SENSITIVITY TABLE — Net P&amp;L (₹ Lakhs) by Revenue Shortfall x Cost Overrun</t>
  </si>
  <si>
    <t>Yellow cells = change scenario inputs above and this table updates | Red cells = P&amp;L negative (loss territory)</t>
  </si>
  <si>
    <t>Rev Shortfall ↓ / Cost Overrun →</t>
  </si>
  <si>
    <t>Key finding: P&amp;L turns negative when revenue falls 9%+ AND costs overrun 9%+. Management must prioritise defending revenue in Product B and capping Operations overrun.</t>
  </si>
  <si>
    <t>MidCore Industries Pvt Ltd — Executive Variance Dashboard (FY2023–FY2024)</t>
  </si>
  <si>
    <t>Budget vs Actual Analysis | Stress Test Summary | Management Actions | Unit: ₹ Lakhs</t>
  </si>
  <si>
    <t>This sheet will contain: KPI tiles | Variance waterfall chart | RAG summary | Management action flags</t>
  </si>
  <si>
    <t>FY24 BUDGETED NET P&amp;L</t>
  </si>
  <si>
    <t>FY24 ACTUAL NET P&amp;L</t>
  </si>
  <si>
    <t>PRODUCT B VARIANCE</t>
  </si>
  <si>
    <t>SEVERE STRESS NET P&amp;L</t>
  </si>
  <si>
    <t>₹ Lakhs | FY24 Plan</t>
  </si>
  <si>
    <t>₹ Lakhs | FY24 Performance</t>
  </si>
  <si>
    <t>₹ Lakhs | Total FY24 Underperformance</t>
  </si>
  <si>
    <t>₹ Lakhs | At -12% Rev, +8% Cost</t>
  </si>
  <si>
    <t>RAG PERFORMANCE SUMMARY — FY24</t>
  </si>
  <si>
    <t>FY24 Budget (₹L)</t>
  </si>
  <si>
    <t>FY24 Actual (₹L)</t>
  </si>
  <si>
    <t>Variance (₹L)</t>
  </si>
  <si>
    <t>Variance %</t>
  </si>
  <si>
    <t>Status</t>
  </si>
  <si>
    <t>Management Signal</t>
  </si>
  <si>
    <t>GREEN</t>
  </si>
  <si>
    <t>GROW — consistently above budget. Increase allocation in FY25 plan.</t>
  </si>
  <si>
    <t>RED</t>
  </si>
  <si>
    <t>EXIT REVIEW — persistent underperformance. Initiate product review.</t>
  </si>
  <si>
    <t>GROW — above budget every month. Prioritise capacity expansion.</t>
  </si>
  <si>
    <t>CONTROL — cost inflation accelerating in FY24. Procurement audit needed.</t>
  </si>
  <si>
    <t>AMBER</t>
  </si>
  <si>
    <t>HOLD — near budget. Monitor incentive structure vs revenue output.</t>
  </si>
  <si>
    <t>REVIEW — significant FY24 overrun. Demand ROI accountability.</t>
  </si>
  <si>
    <t>WATCH — attrition costs rising. Retention intervention in Q3 FY25.</t>
  </si>
  <si>
    <t>HOLD — tightly controlled. No action required.</t>
  </si>
  <si>
    <t>KEY FINDING: Product B is in structural decline (-13% avg FY24). Operations cost inflation is accelerating (+7% avg FY24). Together these two lines account for 80%+ of total adverse variance. CFO action: freeze Product B budgeted growth in FY25 and initiate procurement review for Operations by Q1 FY25.</t>
  </si>
  <si>
    <t>MidCore Industries Pvt Ltd - Budget vs Actuals RAW EXTRACT (UNPROCESSED)</t>
  </si>
  <si>
    <t>Extracted: 07-Aug-2026 14:41 IST | Source systems: SAP + Excel manual + legacy | Confidential</t>
  </si>
  <si>
    <t>Month / Period</t>
  </si>
  <si>
    <t>Fin Year</t>
  </si>
  <si>
    <t>Qtr</t>
  </si>
  <si>
    <t>Catgory</t>
  </si>
  <si>
    <t>LineItem</t>
  </si>
  <si>
    <t>Budget Amt</t>
  </si>
  <si>
    <t>Actual Amt</t>
  </si>
  <si>
    <t>Comments / Assumptions</t>
  </si>
  <si>
    <t>Flag</t>
  </si>
  <si>
    <t>Origin</t>
  </si>
  <si>
    <t>Notes2</t>
  </si>
  <si>
    <t>// TODO: data team to verify block starting here</t>
  </si>
  <si>
    <t>14.0</t>
  </si>
  <si>
    <t>flag</t>
  </si>
  <si>
    <t>user_upload</t>
  </si>
  <si>
    <t xml:space="preserve"> </t>
  </si>
  <si>
    <t>February 2024</t>
  </si>
  <si>
    <t>q4</t>
  </si>
  <si>
    <t xml:space="preserve">Product B </t>
  </si>
  <si>
    <t>6160000</t>
  </si>
  <si>
    <t>csv_import</t>
  </si>
  <si>
    <t>duplicate?</t>
  </si>
  <si>
    <t>1</t>
  </si>
  <si>
    <t>legacy_system</t>
  </si>
  <si>
    <t>Markting</t>
  </si>
  <si>
    <t>check</t>
  </si>
  <si>
    <t>SAP_dump_v2</t>
  </si>
  <si>
    <t>Rs. 7.7</t>
  </si>
  <si>
    <t>7.85 L</t>
  </si>
  <si>
    <t>Compliance,  audit,  office  admin;  tightly  controlled;  near-budget  historically</t>
  </si>
  <si>
    <t>export_apr.xlsx</t>
  </si>
  <si>
    <t>23</t>
  </si>
  <si>
    <t>Expenses</t>
  </si>
  <si>
    <t>Rs. 78.75</t>
  </si>
  <si>
    <t xml:space="preserve">  Manufacturing + COGS + overhead; 45% of revenue; input cost inflation trend FY24   </t>
  </si>
  <si>
    <t>0</t>
  </si>
  <si>
    <t>Jun 23</t>
  </si>
  <si>
    <t>2024-01</t>
  </si>
  <si>
    <t>sales</t>
  </si>
  <si>
    <t>2525000</t>
  </si>
  <si>
    <t>verify this</t>
  </si>
  <si>
    <t xml:space="preserve"> 7.0 </t>
  </si>
  <si>
    <t>Rs. 7.14</t>
  </si>
  <si>
    <t>8.00 L</t>
  </si>
  <si>
    <t>SEP-22</t>
  </si>
  <si>
    <t>Quarter 2</t>
  </si>
  <si>
    <t>43,2</t>
  </si>
  <si>
    <t>manual_entry</t>
  </si>
  <si>
    <t>Marketting</t>
  </si>
  <si>
    <t>19.8</t>
  </si>
  <si>
    <t>BRAND + DIGITAL SPENDS; FY24 OVERRUN DUE TO NEW PRODUCT LAUNCH CAMPAIGN</t>
  </si>
  <si>
    <t>N/A</t>
  </si>
  <si>
    <t>Qtr 3</t>
  </si>
  <si>
    <t>COST</t>
  </si>
  <si>
    <t>People</t>
  </si>
  <si>
    <t>hr</t>
  </si>
  <si>
    <t>10.71 lakhs</t>
  </si>
  <si>
    <t>old value</t>
  </si>
  <si>
    <t>Cst</t>
  </si>
  <si>
    <t>₹80.33</t>
  </si>
  <si>
    <t>Revnue</t>
  </si>
  <si>
    <t>product a</t>
  </si>
  <si>
    <t>1.1250e+02</t>
  </si>
  <si>
    <t>x</t>
  </si>
  <si>
    <t>reconcile</t>
  </si>
  <si>
    <t>Exp</t>
  </si>
  <si>
    <t>Sls</t>
  </si>
  <si>
    <t>25.0 lakhs</t>
  </si>
  <si>
    <t>Rev</t>
  </si>
  <si>
    <t>Rs. 130.41</t>
  </si>
  <si>
    <t>CORE MANUFACTURED PRODUCT; 50% REVENUE SHARE; SEASONAL Q3 PEAK (FESTIVE DEMAND)</t>
  </si>
  <si>
    <t>11040000</t>
  </si>
  <si>
    <t>113.71 L</t>
  </si>
  <si>
    <t>Mar/24</t>
  </si>
  <si>
    <t>Legacy product line; declining due to market  [truncated]</t>
  </si>
  <si>
    <t>Quarter 1</t>
  </si>
  <si>
    <t>₹17.68</t>
  </si>
  <si>
    <t>Field sales team + incentive payouts; ...</t>
  </si>
  <si>
    <t>??</t>
  </si>
  <si>
    <t>2023-05</t>
  </si>
  <si>
    <t>Financial Year 24</t>
  </si>
  <si>
    <t>Finance/Admin</t>
  </si>
  <si>
    <t>Rs. 12.1</t>
  </si>
  <si>
    <t xml:space="preserve"> 12.34 </t>
  </si>
  <si>
    <t>2022-06</t>
  </si>
  <si>
    <t>Brand</t>
  </si>
  <si>
    <t xml:space="preserve"> 14.56 </t>
  </si>
  <si>
    <t>OK</t>
  </si>
  <si>
    <t>Manufacturing + COGS + overhead; 45% o...</t>
  </si>
  <si>
    <t>Jan/24</t>
  </si>
  <si>
    <t>FY 24</t>
  </si>
  <si>
    <t>OPERATIONS</t>
  </si>
  <si>
    <t>Dec/23</t>
  </si>
  <si>
    <t xml:space="preserve"> 143.52 </t>
  </si>
  <si>
    <t>q2</t>
  </si>
  <si>
    <t>Income</t>
  </si>
  <si>
    <t xml:space="preserve">  Core manufactured product; 50% revenue share; seasonal Q3 peak (festive demand)   </t>
  </si>
  <si>
    <t>Jul 23</t>
  </si>
  <si>
    <t xml:space="preserve"> 8.8 </t>
  </si>
  <si>
    <t xml:space="preserve"> 8.98 </t>
  </si>
  <si>
    <t>COMPLIANCE, AUDIT, OFFICE ADMIN; TIGHTLY CONTROLLED; NEAR-BUDGET HISTORICALLY</t>
  </si>
  <si>
    <t>FY 23</t>
  </si>
  <si>
    <t>₹20.40</t>
  </si>
  <si>
    <t>Costs</t>
  </si>
  <si>
    <t xml:space="preserve">13.73  </t>
  </si>
  <si>
    <t>Salaries + benefits + attrition replac...</t>
  </si>
  <si>
    <t>3/1/2024</t>
  </si>
  <si>
    <t>Rs. 12.24</t>
  </si>
  <si>
    <t>Svc</t>
  </si>
  <si>
    <t>Manufacturing</t>
  </si>
  <si>
    <t>After-sales and maintenance contracts;...</t>
  </si>
  <si>
    <t>12/1/2022</t>
  </si>
  <si>
    <t>Finance Admin</t>
  </si>
  <si>
    <t>100.0 lakhs</t>
  </si>
  <si>
    <t>Jul 22</t>
  </si>
  <si>
    <t>Qtr 2</t>
  </si>
  <si>
    <t>₹18.00</t>
  </si>
  <si>
    <t>19,62</t>
  </si>
  <si>
    <t>services</t>
  </si>
  <si>
    <t>August 2023</t>
  </si>
  <si>
    <t>Sales Revenue</t>
  </si>
  <si>
    <t>112.61 lakhs</t>
  </si>
  <si>
    <t>Fin &amp; Admin</t>
  </si>
  <si>
    <t>₹7.78</t>
  </si>
  <si>
    <t>Compliance, audit, office admin; tight...</t>
  </si>
  <si>
    <t>fy24</t>
  </si>
  <si>
    <t>21.56 lakhs</t>
  </si>
  <si>
    <t>Mkt</t>
  </si>
  <si>
    <t>1.5750e+01</t>
  </si>
  <si>
    <t>Brand + digital spends; FY24 overrun d...</t>
  </si>
  <si>
    <t>Prod. A</t>
  </si>
  <si>
    <t>11/1/2022</t>
  </si>
  <si>
    <t>Sep 23</t>
  </si>
  <si>
    <t>Human Resources</t>
  </si>
  <si>
    <t>1320000</t>
  </si>
  <si>
    <t>1.6000e+01</t>
  </si>
  <si>
    <t>October 2022</t>
  </si>
  <si>
    <t>fy23</t>
  </si>
  <si>
    <t>After Sales</t>
  </si>
  <si>
    <t>Rs. 50.0</t>
  </si>
  <si>
    <t>54.5</t>
  </si>
  <si>
    <t>PRODUCT B</t>
  </si>
  <si>
    <t>52.5</t>
  </si>
  <si>
    <t>LEGACY PRODUCT LINE; DECLINING DUE TO MARKET SHARE LOSS; BUDGETED CONSERVATIVELY</t>
  </si>
  <si>
    <t>Rs. 84.7</t>
  </si>
  <si>
    <t>Rs. 89.78</t>
  </si>
  <si>
    <t>Jun/23</t>
  </si>
  <si>
    <t>q1</t>
  </si>
  <si>
    <t>Expense</t>
  </si>
  <si>
    <t>DEC-23</t>
  </si>
  <si>
    <t>22.50 L</t>
  </si>
  <si>
    <t>Core manufactured product; 50% revenue...</t>
  </si>
  <si>
    <t>Manufacturing  +  COGS  +  overhead;  45%  of  revenue;  input  cost  inflation  trend  FY24</t>
  </si>
  <si>
    <t>52,8</t>
  </si>
  <si>
    <t>Prod B</t>
  </si>
  <si>
    <t>5580000</t>
  </si>
  <si>
    <t>2</t>
  </si>
  <si>
    <t>MARKETING</t>
  </si>
  <si>
    <t>2.0250e+01</t>
  </si>
  <si>
    <t>22.07 lakhs</t>
  </si>
  <si>
    <t>Feb/23</t>
  </si>
  <si>
    <t>marketing</t>
  </si>
  <si>
    <t>₹16.00</t>
  </si>
  <si>
    <t>16,48</t>
  </si>
  <si>
    <t>FEB-23</t>
  </si>
  <si>
    <t>Product-B</t>
  </si>
  <si>
    <t>₹60.00</t>
  </si>
  <si>
    <t xml:space="preserve">  Legacy product line; declining due to market share loss; budgeted conservatively   </t>
  </si>
  <si>
    <t>Field Sales</t>
  </si>
  <si>
    <t>19.2</t>
  </si>
  <si>
    <t xml:space="preserve"> 19.44 </t>
  </si>
  <si>
    <t>TBD</t>
  </si>
  <si>
    <t>Oct 23</t>
  </si>
  <si>
    <t>may-22</t>
  </si>
  <si>
    <t>8750000</t>
  </si>
  <si>
    <t xml:space="preserve">88.38  </t>
  </si>
  <si>
    <t>Rev.</t>
  </si>
  <si>
    <t>65,45</t>
  </si>
  <si>
    <t>JAN-23</t>
  </si>
  <si>
    <t>JUL-22</t>
  </si>
  <si>
    <t>Sales Team</t>
  </si>
  <si>
    <t>20,0</t>
  </si>
  <si>
    <t xml:space="preserve">  Field sales team + incentive payouts; ~10% of revenue; stable cost base   </t>
  </si>
  <si>
    <t>REVENUE</t>
  </si>
  <si>
    <t>Service</t>
  </si>
  <si>
    <t>AFTER-SALES AND MAINTENANCE CONTRACTS; GROWING SEGMENT; STICKY RECURRING REVENUE</t>
  </si>
  <si>
    <t>Mar 23</t>
  </si>
  <si>
    <t>Rs. 38.85</t>
  </si>
  <si>
    <t>2.2440e+01</t>
  </si>
  <si>
    <t>Sep 22</t>
  </si>
  <si>
    <t>₹20.00</t>
  </si>
  <si>
    <t>Nov/23</t>
  </si>
  <si>
    <t>12/1/2023</t>
  </si>
  <si>
    <t>11,0</t>
  </si>
  <si>
    <t>9/1/2022</t>
  </si>
  <si>
    <t>Human Resource</t>
  </si>
  <si>
    <t>APR-22</t>
  </si>
  <si>
    <t>7.0 lakhs</t>
  </si>
  <si>
    <t>7,07</t>
  </si>
  <si>
    <t xml:space="preserve">  Salaries + benefits + attrition replacement; slight overrun from mid-year hiring   </t>
  </si>
  <si>
    <t>Q</t>
  </si>
  <si>
    <t>Cat</t>
  </si>
  <si>
    <t>Item</t>
  </si>
  <si>
    <t>Bud</t>
  </si>
  <si>
    <t>Act</t>
  </si>
  <si>
    <t>Note</t>
  </si>
  <si>
    <t>Flg</t>
  </si>
  <si>
    <t>Src</t>
  </si>
  <si>
    <t>Tmp</t>
  </si>
  <si>
    <t xml:space="preserve">19.25 </t>
  </si>
  <si>
    <t>cost</t>
  </si>
  <si>
    <t>9.9</t>
  </si>
  <si>
    <t>Mktg</t>
  </si>
  <si>
    <t xml:space="preserve"> 20.34 </t>
  </si>
  <si>
    <t>7/1/2022</t>
  </si>
  <si>
    <t>2022-08</t>
  </si>
  <si>
    <t>9000000</t>
  </si>
  <si>
    <t>Rs. 92.7</t>
  </si>
  <si>
    <t>10/1/2023</t>
  </si>
  <si>
    <t>September 2022</t>
  </si>
  <si>
    <t>Rs. 16.0</t>
  </si>
  <si>
    <t>Brand  +  digital  spends;  FY24  overrun  due  to  new  product  launch  campaign</t>
  </si>
  <si>
    <t>COGS</t>
  </si>
  <si>
    <t>Product  A</t>
  </si>
  <si>
    <t>1.1482e+02</t>
  </si>
  <si>
    <t>Core  manufactured  product;  50%  revenue  share;  seasonal  Q3  peak  (festive  demand)</t>
  </si>
  <si>
    <t>apr-22</t>
  </si>
  <si>
    <t>NULL</t>
  </si>
  <si>
    <t>Rs. 87.5</t>
  </si>
  <si>
    <t>q3</t>
  </si>
  <si>
    <t xml:space="preserve">  After-sales and maintenance contracts; growing segment; sticky recurring revenue   </t>
  </si>
  <si>
    <t>Rs. 22.22</t>
  </si>
  <si>
    <t>₹68.25</t>
  </si>
  <si>
    <t>Legacy product line; declining due to ...</t>
  </si>
  <si>
    <t>45.0</t>
  </si>
  <si>
    <t xml:space="preserve"> 49.05 </t>
  </si>
  <si>
    <t>After-sales  and  maintenance  contracts;  growing  segment;  sticky  recurring  revenue</t>
  </si>
  <si>
    <t>May 2023</t>
  </si>
  <si>
    <t>Q-1</t>
  </si>
  <si>
    <t>11.6</t>
  </si>
  <si>
    <t>Rs. 12.01</t>
  </si>
  <si>
    <t>₹22.00</t>
  </si>
  <si>
    <t>Q1 Summary</t>
  </si>
  <si>
    <t>All Products</t>
  </si>
  <si>
    <t>aggregated - ignore</t>
  </si>
  <si>
    <t>remove?</t>
  </si>
  <si>
    <t>H.R.</t>
  </si>
  <si>
    <t>Rs. 12.36</t>
  </si>
  <si>
    <t>Quarter 3</t>
  </si>
  <si>
    <t>Rs. 30.25</t>
  </si>
  <si>
    <t>SALARIES + BENEFITS + ATTRITION REPLACEMENT; SLIGHT OVERRUN FROM MID-YEAR HIRING</t>
  </si>
  <si>
    <t>Finance and Admin</t>
  </si>
  <si>
    <t>Rs. 8.0</t>
  </si>
  <si>
    <t>MAY-22</t>
  </si>
  <si>
    <t xml:space="preserve">  </t>
  </si>
  <si>
    <t>₹49.88</t>
  </si>
  <si>
    <t>April 2022</t>
  </si>
  <si>
    <t>Personnel</t>
  </si>
  <si>
    <t>Rs. 10.5</t>
  </si>
  <si>
    <t>1071000</t>
  </si>
  <si>
    <t>dec-23</t>
  </si>
  <si>
    <t xml:space="preserve"> 16.5 </t>
  </si>
  <si>
    <t>53.76 lakhs</t>
  </si>
  <si>
    <t>Check totals</t>
  </si>
  <si>
    <t>All</t>
  </si>
  <si>
    <t>Balance Check</t>
  </si>
  <si>
    <t>see above</t>
  </si>
  <si>
    <t>manual check needed by finance</t>
  </si>
  <si>
    <t>manual</t>
  </si>
  <si>
    <t>1.6500e+01</t>
  </si>
  <si>
    <t>112.50 L</t>
  </si>
  <si>
    <t>Qtr 1</t>
  </si>
  <si>
    <t>Ops</t>
  </si>
  <si>
    <t>Feb 23</t>
  </si>
  <si>
    <t>12.00 L</t>
  </si>
  <si>
    <t>product b</t>
  </si>
  <si>
    <t>125.00 L</t>
  </si>
  <si>
    <t>15.8</t>
  </si>
  <si>
    <t>17.6</t>
  </si>
  <si>
    <t>5.0400e+01</t>
  </si>
  <si>
    <t>17.32</t>
  </si>
  <si>
    <t>FIELD SALES TEAM + INCENTIVE PAYOUTS; ~10% OF REVENUE; STABLE COST BASE</t>
  </si>
  <si>
    <t>₹93.17</t>
  </si>
  <si>
    <t>144,38</t>
  </si>
  <si>
    <t>Rs. 57.0</t>
  </si>
  <si>
    <t>2023-04</t>
  </si>
  <si>
    <t>Operation</t>
  </si>
  <si>
    <t>90,0</t>
  </si>
  <si>
    <t>94.50 L</t>
  </si>
  <si>
    <t>2023-08</t>
  </si>
  <si>
    <t>Legacy Product</t>
  </si>
  <si>
    <t xml:space="preserve"> 61.6 </t>
  </si>
  <si>
    <t>FinAdmin</t>
  </si>
  <si>
    <t>ERROR</t>
  </si>
  <si>
    <t>Salaries  +  benefits  +  attrition  replacement;  slight  overrun  from  mid-year  hiring</t>
  </si>
  <si>
    <t>₹84.70</t>
  </si>
  <si>
    <t>24</t>
  </si>
  <si>
    <t>5/1/2022</t>
  </si>
  <si>
    <t>Maintenance</t>
  </si>
  <si>
    <t>₹55.00</t>
  </si>
  <si>
    <t>Quarter 4</t>
  </si>
  <si>
    <t xml:space="preserve">107.33 </t>
  </si>
  <si>
    <t xml:space="preserve"> 128.75 </t>
  </si>
  <si>
    <t>December 2022</t>
  </si>
  <si>
    <t>Rs. 21.0</t>
  </si>
  <si>
    <t>TOTAL</t>
  </si>
  <si>
    <t>Grand Total</t>
  </si>
  <si>
    <t>Do not delete - system total</t>
  </si>
  <si>
    <t>system</t>
  </si>
  <si>
    <t>KEEP</t>
  </si>
  <si>
    <t>Aug/23</t>
  </si>
  <si>
    <t>9.6800e+01</t>
  </si>
  <si>
    <t>2295000</t>
  </si>
  <si>
    <t>Aug 22</t>
  </si>
  <si>
    <t>₹145.08</t>
  </si>
  <si>
    <t>jun-23</t>
  </si>
  <si>
    <t>53,9</t>
  </si>
  <si>
    <t>Legacy  product  line;  declining  due  to  market  share  loss;  budgeted  conservatively</t>
  </si>
  <si>
    <t>mar-23</t>
  </si>
  <si>
    <t>SALES</t>
  </si>
  <si>
    <t xml:space="preserve"> 22.0 </t>
  </si>
  <si>
    <t>22.22 L</t>
  </si>
  <si>
    <t>Ops Cost</t>
  </si>
  <si>
    <t>Q-2</t>
  </si>
  <si>
    <t>Rs. 8.89</t>
  </si>
  <si>
    <t>114.8</t>
  </si>
  <si>
    <t>March 2024</t>
  </si>
  <si>
    <t>possible duplicate</t>
  </si>
  <si>
    <t>dup</t>
  </si>
  <si>
    <t>8.08 lakhs</t>
  </si>
  <si>
    <t>Rs. 20.0</t>
  </si>
  <si>
    <t>20,2</t>
  </si>
  <si>
    <t>Servces</t>
  </si>
  <si>
    <t>25,0</t>
  </si>
  <si>
    <t>Compliance, audit, office admin; tightly cont [truncated]</t>
  </si>
  <si>
    <t>27.23 L</t>
  </si>
  <si>
    <t>---</t>
  </si>
  <si>
    <t>ALL</t>
  </si>
  <si>
    <t>Mixed</t>
  </si>
  <si>
    <t>separator row</t>
  </si>
  <si>
    <t>84.7</t>
  </si>
  <si>
    <t>7.7000e+00</t>
  </si>
  <si>
    <t>JAN-24</t>
  </si>
  <si>
    <t>August 2022</t>
  </si>
  <si>
    <t>A Product</t>
  </si>
  <si>
    <t>8.0</t>
  </si>
  <si>
    <t>GRAND TOTAL</t>
  </si>
  <si>
    <t>ALL YEARS</t>
  </si>
  <si>
    <t>Net P&amp;L</t>
  </si>
  <si>
    <t>from dashboard</t>
  </si>
  <si>
    <t>Prod. B</t>
  </si>
  <si>
    <t>nov-22</t>
  </si>
  <si>
    <t>82.5</t>
  </si>
  <si>
    <t>jul-23</t>
  </si>
  <si>
    <t>103,58</t>
  </si>
  <si>
    <t>90.0</t>
  </si>
  <si>
    <t>APR-23</t>
  </si>
  <si>
    <t>4.5360e+01</t>
  </si>
  <si>
    <t>2023-07</t>
  </si>
  <si>
    <t>May 23</t>
  </si>
  <si>
    <t/>
  </si>
  <si>
    <t>NP/TR*100</t>
  </si>
  <si>
    <t>Budget Reqired (₹ L)</t>
  </si>
  <si>
    <t>Actual Budget (₹ L)</t>
  </si>
  <si>
    <t>M S S P&amp;L -BASE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</si>
</sst>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0"/>
      <color rgb="FF000000"/>
      <name val="Arial"/>
      <family val="2"/>
    </font>
    <font>
      <i/>
      <sz val="10"/>
      <color rgb="FF595959"/>
      <name val="Arial"/>
      <family val="2"/>
    </font>
    <font>
      <b/>
      <sz val="11"/>
      <color rgb="FF0000FF"/>
      <name val="Arial"/>
      <family val="2"/>
    </font>
    <font>
      <b/>
      <sz val="10"/>
      <color rgb="FFCC0000"/>
      <name val="Arial"/>
      <family val="2"/>
    </font>
    <font>
      <b/>
      <sz val="10"/>
      <color rgb="FF1E5631"/>
      <name val="Arial"/>
      <family val="2"/>
    </font>
    <font>
      <b/>
      <sz val="10"/>
      <color rgb="FF7F6000"/>
      <name val="Arial"/>
      <family val="2"/>
    </font>
    <font>
      <b/>
      <sz val="10"/>
      <color rgb="FF7B0000"/>
      <name val="Arial"/>
      <family val="2"/>
    </font>
    <font>
      <b/>
      <sz val="9"/>
      <color rgb="FFFFFFFF"/>
      <name val="Arial"/>
      <family val="2"/>
    </font>
    <font>
      <sz val="10"/>
      <color rgb="FF1E5631"/>
      <name val="Arial"/>
      <family val="2"/>
    </font>
    <font>
      <sz val="10"/>
      <color rgb="FF7F6000"/>
      <name val="Arial"/>
      <family val="2"/>
    </font>
    <font>
      <b/>
      <sz val="10"/>
      <color rgb="FF1F3864"/>
      <name val="Arial"/>
      <family val="2"/>
    </font>
    <font>
      <b/>
      <sz val="13"/>
      <color rgb="FFFFFFFF"/>
      <name val="Arial"/>
      <family val="2"/>
    </font>
    <font>
      <b/>
      <sz val="9"/>
      <color rgb="FF7B0000"/>
      <name val="Arial"/>
      <family val="2"/>
    </font>
    <font>
      <b/>
      <sz val="16"/>
      <color rgb="FFFFFFFF"/>
      <name val="Arial"/>
      <family val="2"/>
    </font>
    <font>
      <b/>
      <sz val="16"/>
      <color rgb="FF7B0000"/>
      <name val="Arial"/>
      <family val="2"/>
    </font>
    <font>
      <sz val="8"/>
      <color rgb="FFFFFFFF"/>
      <name val="Arial"/>
      <family val="2"/>
    </font>
    <font>
      <sz val="8"/>
      <color rgb="FF7B0000"/>
      <name val="Arial"/>
      <family val="2"/>
    </font>
    <font>
      <sz val="9"/>
      <color rgb="FF000000"/>
      <name val="Arial"/>
      <family val="2"/>
    </font>
    <font>
      <sz val="9"/>
      <color rgb="FF008000"/>
      <name val="Arial"/>
      <family val="2"/>
    </font>
    <font>
      <b/>
      <sz val="9"/>
      <color rgb="FF1E5631"/>
      <name val="Arial"/>
      <family val="2"/>
    </font>
    <font>
      <sz val="9"/>
      <color rgb="FF1E5631"/>
      <name val="Arial"/>
      <family val="2"/>
    </font>
    <font>
      <sz val="9"/>
      <color rgb="FF7B0000"/>
      <name val="Arial"/>
      <family val="2"/>
    </font>
    <font>
      <b/>
      <sz val="9"/>
      <color rgb="FF7F6000"/>
      <name val="Arial"/>
      <family val="2"/>
    </font>
    <font>
      <sz val="9"/>
      <color rgb="FF7F6000"/>
      <name val="Arial"/>
      <family val="2"/>
    </font>
    <font>
      <b/>
      <i/>
      <sz val="9"/>
      <color rgb="FF595959"/>
      <name val="Arial"/>
      <family val="2"/>
    </font>
    <font>
      <b/>
      <sz val="9"/>
      <color rgb="FF595959"/>
      <name val="Arial"/>
      <family val="2"/>
    </font>
    <font>
      <b/>
      <sz val="14"/>
      <name val="Calibri"/>
      <family val="2"/>
    </font>
    <font>
      <b/>
      <sz val="10"/>
      <name val="Calibri"/>
      <family val="2"/>
    </font>
    <font>
      <sz val="8"/>
      <color rgb="FF0000AA"/>
      <name val="Calibri"/>
      <family val="2"/>
    </font>
    <font>
      <sz val="11"/>
      <color rgb="FFCC0000"/>
      <name val="Calibri"/>
      <family val="2"/>
    </font>
    <font>
      <i/>
      <sz val="8"/>
      <color rgb="FF999999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8"/>
      <color rgb="FFFFFFFF"/>
      <name val="Arial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1F6B75"/>
      </patternFill>
    </fill>
    <fill>
      <patternFill patternType="solid">
        <fgColor rgb="FFF2F2F2"/>
        <bgColor rgb="FFFFE7E6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FE7E6"/>
      </patternFill>
    </fill>
    <fill>
      <patternFill patternType="solid">
        <fgColor rgb="FFFFE7E6"/>
        <bgColor rgb="FFF2F2F2"/>
      </patternFill>
    </fill>
    <fill>
      <patternFill patternType="solid">
        <fgColor rgb="FFBDD7EE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1F6B75"/>
        <bgColor rgb="FF008080"/>
      </patternFill>
    </fill>
    <fill>
      <patternFill patternType="solid">
        <fgColor theme="0"/>
        <bgColor rgb="FF333399"/>
      </patternFill>
    </fill>
    <fill>
      <patternFill patternType="solid">
        <fgColor rgb="FFB8B8B8"/>
      </patternFill>
    </fill>
    <fill>
      <patternFill patternType="solid">
        <fgColor rgb="FFFFF2CC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03">
    <xf numFmtId="0" fontId="0" fillId="0" borderId="0" xfId="0"/>
    <xf numFmtId="0" fontId="20" fillId="7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/>
    <xf numFmtId="4" fontId="6" fillId="4" borderId="1" xfId="0" applyNumberFormat="1" applyFont="1" applyFill="1" applyBorder="1"/>
    <xf numFmtId="0" fontId="3" fillId="4" borderId="1" xfId="0" applyFont="1" applyFill="1" applyBorder="1"/>
    <xf numFmtId="0" fontId="5" fillId="0" borderId="1" xfId="0" applyFont="1" applyBorder="1"/>
    <xf numFmtId="4" fontId="6" fillId="0" borderId="1" xfId="0" applyNumberFormat="1" applyFont="1" applyBorder="1"/>
    <xf numFmtId="0" fontId="3" fillId="0" borderId="1" xfId="0" applyFont="1" applyBorder="1"/>
    <xf numFmtId="0" fontId="7" fillId="4" borderId="1" xfId="0" applyFont="1" applyFill="1" applyBorder="1"/>
    <xf numFmtId="4" fontId="5" fillId="4" borderId="1" xfId="0" applyNumberFormat="1" applyFont="1" applyFill="1" applyBorder="1"/>
    <xf numFmtId="164" fontId="5" fillId="4" borderId="1" xfId="0" applyNumberFormat="1" applyFont="1" applyFill="1" applyBorder="1"/>
    <xf numFmtId="0" fontId="8" fillId="5" borderId="1" xfId="0" applyFont="1" applyFill="1" applyBorder="1" applyAlignment="1">
      <alignment horizontal="center"/>
    </xf>
    <xf numFmtId="0" fontId="7" fillId="0" borderId="1" xfId="0" applyFont="1" applyBorder="1"/>
    <xf numFmtId="4" fontId="5" fillId="0" borderId="1" xfId="0" applyNumberFormat="1" applyFont="1" applyBorder="1"/>
    <xf numFmtId="164" fontId="5" fillId="0" borderId="1" xfId="0" applyNumberFormat="1" applyFont="1" applyBorder="1"/>
    <xf numFmtId="0" fontId="8" fillId="6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4" fontId="7" fillId="4" borderId="1" xfId="0" applyNumberFormat="1" applyFont="1" applyFill="1" applyBorder="1"/>
    <xf numFmtId="4" fontId="7" fillId="0" borderId="1" xfId="0" applyNumberFormat="1" applyFont="1" applyBorder="1"/>
    <xf numFmtId="0" fontId="8" fillId="8" borderId="1" xfId="0" applyFont="1" applyFill="1" applyBorder="1" applyAlignment="1">
      <alignment horizontal="center" vertical="center" wrapText="1"/>
    </xf>
    <xf numFmtId="0" fontId="0" fillId="0" borderId="1" xfId="0" applyBorder="1"/>
    <xf numFmtId="4" fontId="8" fillId="0" borderId="1" xfId="0" applyNumberFormat="1" applyFont="1" applyBorder="1"/>
    <xf numFmtId="164" fontId="8" fillId="0" borderId="1" xfId="0" applyNumberFormat="1" applyFont="1" applyBorder="1"/>
    <xf numFmtId="4" fontId="4" fillId="2" borderId="1" xfId="0" applyNumberFormat="1" applyFont="1" applyFill="1" applyBorder="1"/>
    <xf numFmtId="0" fontId="8" fillId="0" borderId="1" xfId="0" applyFont="1" applyBorder="1"/>
    <xf numFmtId="164" fontId="10" fillId="9" borderId="1" xfId="0" applyNumberFormat="1" applyFont="1" applyFill="1" applyBorder="1" applyAlignment="1">
      <alignment horizontal="center"/>
    </xf>
    <xf numFmtId="0" fontId="5" fillId="2" borderId="1" xfId="0" applyFont="1" applyFill="1" applyBorder="1"/>
    <xf numFmtId="164" fontId="11" fillId="7" borderId="1" xfId="0" applyNumberFormat="1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164" fontId="12" fillId="5" borderId="1" xfId="0" applyNumberFormat="1" applyFont="1" applyFill="1" applyBorder="1" applyAlignment="1">
      <alignment horizontal="center"/>
    </xf>
    <xf numFmtId="164" fontId="13" fillId="6" borderId="1" xfId="0" applyNumberFormat="1" applyFont="1" applyFill="1" applyBorder="1" applyAlignment="1">
      <alignment horizontal="center"/>
    </xf>
    <xf numFmtId="164" fontId="14" fillId="7" borderId="1" xfId="0" applyNumberFormat="1" applyFont="1" applyFill="1" applyBorder="1" applyAlignment="1">
      <alignment horizontal="center"/>
    </xf>
    <xf numFmtId="4" fontId="12" fillId="5" borderId="1" xfId="0" applyNumberFormat="1" applyFont="1" applyFill="1" applyBorder="1" applyAlignment="1">
      <alignment horizontal="center"/>
    </xf>
    <xf numFmtId="4" fontId="13" fillId="6" borderId="1" xfId="0" applyNumberFormat="1" applyFont="1" applyFill="1" applyBorder="1" applyAlignment="1">
      <alignment horizontal="center"/>
    </xf>
    <xf numFmtId="4" fontId="14" fillId="7" borderId="1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 wrapText="1"/>
    </xf>
    <xf numFmtId="9" fontId="4" fillId="3" borderId="1" xfId="0" applyNumberFormat="1" applyFont="1" applyFill="1" applyBorder="1" applyAlignment="1">
      <alignment horizontal="center"/>
    </xf>
    <xf numFmtId="3" fontId="16" fillId="5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/>
    </xf>
    <xf numFmtId="0" fontId="25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center" vertical="center"/>
    </xf>
    <xf numFmtId="4" fontId="26" fillId="0" borderId="1" xfId="0" applyNumberFormat="1" applyFont="1" applyBorder="1" applyAlignment="1">
      <alignment horizontal="right" vertical="center"/>
    </xf>
    <xf numFmtId="4" fontId="25" fillId="0" borderId="1" xfId="0" applyNumberFormat="1" applyFont="1" applyBorder="1" applyAlignment="1">
      <alignment horizontal="right" vertical="center"/>
    </xf>
    <xf numFmtId="164" fontId="25" fillId="0" borderId="1" xfId="0" applyNumberFormat="1" applyFont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31" fillId="6" borderId="1" xfId="0" applyFont="1" applyFill="1" applyBorder="1" applyAlignment="1">
      <alignment horizontal="left" vertical="center" wrapText="1"/>
    </xf>
    <xf numFmtId="0" fontId="29" fillId="7" borderId="1" xfId="0" applyFont="1" applyFill="1" applyBorder="1" applyAlignment="1">
      <alignment horizontal="left" vertical="center" wrapText="1"/>
    </xf>
    <xf numFmtId="0" fontId="28" fillId="5" borderId="1" xfId="0" applyFont="1" applyFill="1" applyBorder="1" applyAlignment="1">
      <alignment horizontal="left" vertical="center" wrapText="1"/>
    </xf>
    <xf numFmtId="0" fontId="18" fillId="8" borderId="3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4" fontId="21" fillId="3" borderId="1" xfId="0" applyNumberFormat="1" applyFont="1" applyFill="1" applyBorder="1" applyAlignment="1">
      <alignment horizontal="center" vertical="center"/>
    </xf>
    <xf numFmtId="4" fontId="21" fillId="10" borderId="1" xfId="0" applyNumberFormat="1" applyFont="1" applyFill="1" applyBorder="1" applyAlignment="1">
      <alignment horizontal="center" vertical="center"/>
    </xf>
    <xf numFmtId="4" fontId="22" fillId="7" borderId="1" xfId="0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9" fillId="0" borderId="0" xfId="0" applyFont="1"/>
    <xf numFmtId="0" fontId="15" fillId="3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2" fillId="0" borderId="4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18" fillId="8" borderId="0" xfId="0" applyFont="1" applyFill="1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4" fillId="0" borderId="0" xfId="1" applyFont="1"/>
    <xf numFmtId="0" fontId="1" fillId="0" borderId="0" xfId="1"/>
    <xf numFmtId="0" fontId="40" fillId="0" borderId="0" xfId="1" applyFont="1"/>
    <xf numFmtId="0" fontId="35" fillId="12" borderId="1" xfId="1" applyFont="1" applyFill="1" applyBorder="1" applyAlignment="1">
      <alignment wrapText="1"/>
    </xf>
    <xf numFmtId="0" fontId="1" fillId="0" borderId="1" xfId="1" applyBorder="1"/>
    <xf numFmtId="0" fontId="1" fillId="13" borderId="1" xfId="1" applyFill="1" applyBorder="1"/>
    <xf numFmtId="0" fontId="37" fillId="0" borderId="1" xfId="1" applyFont="1" applyBorder="1"/>
    <xf numFmtId="0" fontId="36" fillId="0" borderId="1" xfId="1" applyFont="1" applyBorder="1"/>
    <xf numFmtId="0" fontId="38" fillId="0" borderId="1" xfId="1" applyFont="1" applyBorder="1"/>
    <xf numFmtId="0" fontId="39" fillId="0" borderId="1" xfId="1" applyFont="1" applyBorder="1"/>
    <xf numFmtId="0" fontId="37" fillId="13" borderId="1" xfId="1" applyFont="1" applyFill="1" applyBorder="1"/>
    <xf numFmtId="0" fontId="41" fillId="3" borderId="1" xfId="0" applyFont="1" applyFill="1" applyBorder="1" applyAlignment="1">
      <alignment horizontal="center" vertical="center" wrapText="1"/>
    </xf>
    <xf numFmtId="4" fontId="4" fillId="11" borderId="1" xfId="0" applyNumberFormat="1" applyFont="1" applyFill="1" applyBorder="1"/>
    <xf numFmtId="4" fontId="4" fillId="2" borderId="1" xfId="0" applyNumberFormat="1" applyFont="1" applyFill="1" applyBorder="1" applyAlignment="1">
      <alignment horizontal="right" vertical="center" wrapText="1"/>
    </xf>
    <xf numFmtId="0" fontId="42" fillId="0" borderId="0" xfId="0" applyFont="1" applyAlignment="1">
      <alignment horizontal="right"/>
    </xf>
    <xf numFmtId="0" fontId="43" fillId="0" borderId="0" xfId="0" applyFont="1" applyAlignment="1">
      <alignment horizontal="right"/>
    </xf>
    <xf numFmtId="9" fontId="0" fillId="0" borderId="0" xfId="0" applyNumberFormat="1"/>
    <xf numFmtId="0" fontId="0" fillId="0" borderId="0" xfId="0" applyNumberFormat="1"/>
  </cellXfs>
  <cellStyles count="2">
    <cellStyle name="Normal" xfId="0" builtinId="0"/>
    <cellStyle name="Normal 2" xfId="1" xr:uid="{E054E1EF-FE31-4DE3-8205-207A219E2CFA}"/>
  </cellStyles>
  <dxfs count="1">
    <dxf>
      <numFmt numFmtId="0" formatCode="General"/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7F6000"/>
      <rgbColor rgb="FF800080"/>
      <rgbColor rgb="FF1F6B75"/>
      <rgbColor rgb="FFB3B3B3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7E6"/>
      <rgbColor rgb="FF99CCFF"/>
      <rgbColor rgb="FFFF99CC"/>
      <rgbColor rgb="FFCC99FF"/>
      <rgbColor rgb="FFD9D9D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E563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FY24 Budget vs Actual by Line Item (₹ Lakhs)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Dashboard!$R$2</c:f>
              <c:strCache>
                <c:ptCount val="1"/>
                <c:pt idx="0">
                  <c:v>Budget Reqired (₹ 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Dashboard!$Q$3:$Q$10</c:f>
              <c:strCache>
                <c:ptCount val="8"/>
                <c:pt idx="0">
                  <c:v>Product A</c:v>
                </c:pt>
                <c:pt idx="1">
                  <c:v>Product B</c:v>
                </c:pt>
                <c:pt idx="2">
                  <c:v>Services</c:v>
                </c:pt>
                <c:pt idx="3">
                  <c:v>Operations</c:v>
                </c:pt>
                <c:pt idx="4">
                  <c:v>Sales</c:v>
                </c:pt>
                <c:pt idx="5">
                  <c:v>Marketing</c:v>
                </c:pt>
                <c:pt idx="6">
                  <c:v>HR</c:v>
                </c:pt>
                <c:pt idx="7">
                  <c:v>Finance &amp; Admin</c:v>
                </c:pt>
              </c:strCache>
            </c:strRef>
          </c:cat>
          <c:val>
            <c:numRef>
              <c:f>Dashboard!$R$3:$R$10</c:f>
              <c:numCache>
                <c:formatCode>#,##0.00</c:formatCode>
                <c:ptCount val="8"/>
                <c:pt idx="0">
                  <c:v>1380</c:v>
                </c:pt>
                <c:pt idx="1">
                  <c:v>770</c:v>
                </c:pt>
                <c:pt idx="2">
                  <c:v>600</c:v>
                </c:pt>
                <c:pt idx="3">
                  <c:v>1210</c:v>
                </c:pt>
                <c:pt idx="4">
                  <c:v>275</c:v>
                </c:pt>
                <c:pt idx="5">
                  <c:v>225</c:v>
                </c:pt>
                <c:pt idx="6">
                  <c:v>165</c:v>
                </c:pt>
                <c:pt idx="7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D6-4E86-A517-7150069EBE16}"/>
            </c:ext>
          </c:extLst>
        </c:ser>
        <c:ser>
          <c:idx val="1"/>
          <c:order val="1"/>
          <c:tx>
            <c:strRef>
              <c:f>Dashboard!$S$2</c:f>
              <c:strCache>
                <c:ptCount val="1"/>
                <c:pt idx="0">
                  <c:v>Actual Budget (₹ 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Dashboard!$Q$3:$Q$10</c:f>
              <c:strCache>
                <c:ptCount val="8"/>
                <c:pt idx="0">
                  <c:v>Product A</c:v>
                </c:pt>
                <c:pt idx="1">
                  <c:v>Product B</c:v>
                </c:pt>
                <c:pt idx="2">
                  <c:v>Services</c:v>
                </c:pt>
                <c:pt idx="3">
                  <c:v>Operations</c:v>
                </c:pt>
                <c:pt idx="4">
                  <c:v>Sales</c:v>
                </c:pt>
                <c:pt idx="5">
                  <c:v>Marketing</c:v>
                </c:pt>
                <c:pt idx="6">
                  <c:v>HR</c:v>
                </c:pt>
                <c:pt idx="7">
                  <c:v>Finance &amp; Admin</c:v>
                </c:pt>
              </c:strCache>
            </c:strRef>
          </c:cat>
          <c:val>
            <c:numRef>
              <c:f>Dashboard!$S$3:$S$10</c:f>
              <c:numCache>
                <c:formatCode>#,##0.00</c:formatCode>
                <c:ptCount val="8"/>
                <c:pt idx="0">
                  <c:v>1436.59</c:v>
                </c:pt>
                <c:pt idx="1">
                  <c:v>667.43000000000006</c:v>
                </c:pt>
                <c:pt idx="2">
                  <c:v>668.16</c:v>
                </c:pt>
                <c:pt idx="3">
                  <c:v>1300.0300000000002</c:v>
                </c:pt>
                <c:pt idx="4">
                  <c:v>278.07</c:v>
                </c:pt>
                <c:pt idx="5">
                  <c:v>248.25</c:v>
                </c:pt>
                <c:pt idx="6">
                  <c:v>172.41000000000003</c:v>
                </c:pt>
                <c:pt idx="7">
                  <c:v>111.14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D6-4E86-A517-7150069EBE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89857813"/>
        <c:axId val="1140988"/>
      </c:barChart>
      <c:catAx>
        <c:axId val="8985781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Line Item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988"/>
        <c:crosses val="autoZero"/>
        <c:auto val="1"/>
        <c:lblAlgn val="ctr"/>
        <c:lblOffset val="100"/>
        <c:noMultiLvlLbl val="0"/>
      </c:catAx>
      <c:valAx>
        <c:axId val="114098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₹ Lakhs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crossAx val="898578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FY24 Monthly Revenue Trend — Budget vs Actual (₹ Lakhs)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Dashboard!$R$15</c:f>
              <c:strCache>
                <c:ptCount val="1"/>
                <c:pt idx="0">
                  <c:v>Budget Reqired (₹ 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Dashboard!$Q$16:$Q$27</c:f>
              <c:strCache>
                <c:ptCount val="12"/>
                <c:pt idx="0">
                  <c:v>Apr-23</c:v>
                </c:pt>
                <c:pt idx="1">
                  <c:v>May-23</c:v>
                </c:pt>
                <c:pt idx="2">
                  <c:v>Jun-23</c:v>
                </c:pt>
                <c:pt idx="3">
                  <c:v>Jul-23</c:v>
                </c:pt>
                <c:pt idx="4">
                  <c:v>Aug-23</c:v>
                </c:pt>
                <c:pt idx="5">
                  <c:v>Sep-23</c:v>
                </c:pt>
                <c:pt idx="6">
                  <c:v>Oct-23</c:v>
                </c:pt>
                <c:pt idx="7">
                  <c:v>Nov-23</c:v>
                </c:pt>
                <c:pt idx="8">
                  <c:v>Dec-23</c:v>
                </c:pt>
                <c:pt idx="9">
                  <c:v>Jan-24</c:v>
                </c:pt>
                <c:pt idx="10">
                  <c:v>Feb-24</c:v>
                </c:pt>
                <c:pt idx="11">
                  <c:v>Mar-24</c:v>
                </c:pt>
              </c:strCache>
            </c:strRef>
          </c:cat>
          <c:val>
            <c:numRef>
              <c:f>Dashboard!$R$16:$R$27</c:f>
              <c:numCache>
                <c:formatCode>General</c:formatCode>
                <c:ptCount val="12"/>
                <c:pt idx="0">
                  <c:v>192.5</c:v>
                </c:pt>
                <c:pt idx="1">
                  <c:v>192.5</c:v>
                </c:pt>
                <c:pt idx="2">
                  <c:v>192.5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275</c:v>
                </c:pt>
                <c:pt idx="7">
                  <c:v>302.5</c:v>
                </c:pt>
                <c:pt idx="8">
                  <c:v>275</c:v>
                </c:pt>
                <c:pt idx="9">
                  <c:v>247.5</c:v>
                </c:pt>
                <c:pt idx="10">
                  <c:v>220</c:v>
                </c:pt>
                <c:pt idx="11">
                  <c:v>192.5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80-4D38-8053-F589EF25ED94}"/>
            </c:ext>
          </c:extLst>
        </c:ser>
        <c:ser>
          <c:idx val="1"/>
          <c:order val="1"/>
          <c:tx>
            <c:strRef>
              <c:f>Dashboard!$S$15</c:f>
              <c:strCache>
                <c:ptCount val="1"/>
                <c:pt idx="0">
                  <c:v>Actual Budget (₹ 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Dashboard!$Q$16:$Q$27</c:f>
              <c:strCache>
                <c:ptCount val="12"/>
                <c:pt idx="0">
                  <c:v>Apr-23</c:v>
                </c:pt>
                <c:pt idx="1">
                  <c:v>May-23</c:v>
                </c:pt>
                <c:pt idx="2">
                  <c:v>Jun-23</c:v>
                </c:pt>
                <c:pt idx="3">
                  <c:v>Jul-23</c:v>
                </c:pt>
                <c:pt idx="4">
                  <c:v>Aug-23</c:v>
                </c:pt>
                <c:pt idx="5">
                  <c:v>Sep-23</c:v>
                </c:pt>
                <c:pt idx="6">
                  <c:v>Oct-23</c:v>
                </c:pt>
                <c:pt idx="7">
                  <c:v>Nov-23</c:v>
                </c:pt>
                <c:pt idx="8">
                  <c:v>Dec-23</c:v>
                </c:pt>
                <c:pt idx="9">
                  <c:v>Jan-24</c:v>
                </c:pt>
                <c:pt idx="10">
                  <c:v>Feb-24</c:v>
                </c:pt>
                <c:pt idx="11">
                  <c:v>Mar-24</c:v>
                </c:pt>
              </c:strCache>
            </c:strRef>
          </c:cat>
          <c:val>
            <c:numRef>
              <c:f>Dashboard!$S$16:$S$27</c:f>
              <c:numCache>
                <c:formatCode>General</c:formatCode>
                <c:ptCount val="12"/>
                <c:pt idx="0">
                  <c:v>193.37</c:v>
                </c:pt>
                <c:pt idx="1">
                  <c:v>192.28</c:v>
                </c:pt>
                <c:pt idx="2">
                  <c:v>194.08999999999997</c:v>
                </c:pt>
                <c:pt idx="3">
                  <c:v>221.81</c:v>
                </c:pt>
                <c:pt idx="4">
                  <c:v>219</c:v>
                </c:pt>
                <c:pt idx="5">
                  <c:v>222.79</c:v>
                </c:pt>
                <c:pt idx="6">
                  <c:v>278.92</c:v>
                </c:pt>
                <c:pt idx="7">
                  <c:v>308.52</c:v>
                </c:pt>
                <c:pt idx="8">
                  <c:v>275.57000000000005</c:v>
                </c:pt>
                <c:pt idx="9">
                  <c:v>251.03</c:v>
                </c:pt>
                <c:pt idx="10">
                  <c:v>220.32</c:v>
                </c:pt>
                <c:pt idx="11">
                  <c:v>194.48000000000002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B80-4D38-8053-F589EF25E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08165"/>
        <c:axId val="94796351"/>
      </c:lineChart>
      <c:catAx>
        <c:axId val="3590816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96351"/>
        <c:crosses val="autoZero"/>
        <c:auto val="1"/>
        <c:lblAlgn val="ctr"/>
        <c:lblOffset val="100"/>
        <c:noMultiLvlLbl val="0"/>
      </c:catAx>
      <c:valAx>
        <c:axId val="9479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₹ Lakhs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081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5</xdr:col>
      <xdr:colOff>543600</xdr:colOff>
      <xdr:row>30</xdr:row>
      <xdr:rowOff>128879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714376</xdr:colOff>
      <xdr:row>8</xdr:row>
      <xdr:rowOff>0</xdr:rowOff>
    </xdr:from>
    <xdr:to>
      <xdr:col>13</xdr:col>
      <xdr:colOff>189406</xdr:colOff>
      <xdr:row>30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EDEC010-0FE8-41E4-A695-796C14EE8204}" autoFormatId="16" applyNumberFormats="0" applyBorderFormats="0" applyFontFormats="0" applyPatternFormats="0" applyAlignmentFormats="0" applyWidthHeightFormats="0">
  <queryTableRefresh nextId="11">
    <queryTableFields count="8">
      <queryTableField id="1" name="Month" tableColumnId="1"/>
      <queryTableField id="2" name="FY" tableColumnId="2"/>
      <queryTableField id="3" name="Quarter" tableColumnId="3"/>
      <queryTableField id="4" name="Category" tableColumnId="4"/>
      <queryTableField id="9" name="Line Item" tableColumnId="9"/>
      <queryTableField id="6" name="Budget (₹ L)" tableColumnId="6"/>
      <queryTableField id="7" name="Actual (₹ L)" tableColumnId="7"/>
      <queryTableField id="8" name="Comments / Assumption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22A4C6-F0F8-4403-8146-BE6442905516}" name="Raw_Export" displayName="Raw_Export" ref="A1:H192" tableType="queryTable" totalsRowShown="0">
  <autoFilter ref="A1:H192" xr:uid="{7FFA1F9D-9EBE-43A4-B650-A4EAC071C326}"/>
  <sortState xmlns:xlrd2="http://schemas.microsoft.com/office/spreadsheetml/2017/richdata2" ref="A2:H192">
    <sortCondition ref="B1:B192"/>
  </sortState>
  <tableColumns count="8">
    <tableColumn id="1" xr3:uid="{BD588BF3-E48C-40A5-A809-FAA7E1BF6509}" uniqueName="1" name="Month" queryTableFieldId="1"/>
    <tableColumn id="2" xr3:uid="{2B191B88-F215-47DB-B6A7-DACA778397A5}" uniqueName="2" name="FY" queryTableFieldId="2"/>
    <tableColumn id="3" xr3:uid="{A650A2B0-FA82-47AF-A161-9C1C52774BA2}" uniqueName="3" name="Quarter" queryTableFieldId="3"/>
    <tableColumn id="4" xr3:uid="{A6910C3C-C671-4BDD-953A-12D9F9CA75F8}" uniqueName="4" name="Category" queryTableFieldId="4"/>
    <tableColumn id="9" xr3:uid="{4106C728-3237-4C83-9C9E-E50025E275AB}" uniqueName="9" name="Line Item" queryTableFieldId="9"/>
    <tableColumn id="6" xr3:uid="{B1B70512-7644-4D74-84F3-E6B77D05FE60}" uniqueName="6" name="Budget (₹ L)" queryTableFieldId="6"/>
    <tableColumn id="7" xr3:uid="{651ABDC7-0380-494C-BE2C-DF568FFDF7C2}" uniqueName="7" name="Actual (₹ L)" queryTableFieldId="7"/>
    <tableColumn id="8" xr3:uid="{8AF8FD1C-96A5-42DF-9A2D-BF9A69BBFA0A}" uniqueName="8" name="Comments / Assumption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1DC10-4D9D-4876-9361-1B726209340F}">
  <dimension ref="A1:K229"/>
  <sheetViews>
    <sheetView tabSelected="1" workbookViewId="0">
      <selection activeCell="G2" sqref="G2"/>
    </sheetView>
  </sheetViews>
  <sheetFormatPr defaultRowHeight="14.25" x14ac:dyDescent="0.45"/>
  <cols>
    <col min="1" max="1" width="16" style="86" customWidth="1"/>
    <col min="2" max="2" width="14" style="86" customWidth="1"/>
    <col min="3" max="3" width="11" style="86" customWidth="1"/>
    <col min="4" max="4" width="13" style="86" customWidth="1"/>
    <col min="5" max="5" width="16" style="86" customWidth="1"/>
    <col min="6" max="7" width="14" style="86" customWidth="1"/>
    <col min="8" max="8" width="48" style="86" customWidth="1"/>
    <col min="9" max="9" width="9" style="86" customWidth="1"/>
    <col min="10" max="10" width="15" style="86" customWidth="1"/>
    <col min="11" max="11" width="12" style="86" customWidth="1"/>
    <col min="12" max="16384" width="9.06640625" style="86"/>
  </cols>
  <sheetData>
    <row r="1" spans="1:11" ht="18" x14ac:dyDescent="0.55000000000000004">
      <c r="A1" s="85" t="s">
        <v>132</v>
      </c>
    </row>
    <row r="2" spans="1:11" x14ac:dyDescent="0.45">
      <c r="A2" s="86" t="s">
        <v>133</v>
      </c>
    </row>
    <row r="4" spans="1:11" x14ac:dyDescent="0.45">
      <c r="A4" s="88" t="s">
        <v>134</v>
      </c>
      <c r="B4" s="88" t="s">
        <v>135</v>
      </c>
      <c r="C4" s="88" t="s">
        <v>136</v>
      </c>
      <c r="D4" s="88" t="s">
        <v>137</v>
      </c>
      <c r="E4" s="88" t="s">
        <v>138</v>
      </c>
      <c r="F4" s="88" t="s">
        <v>139</v>
      </c>
      <c r="G4" s="88" t="s">
        <v>140</v>
      </c>
      <c r="H4" s="88" t="s">
        <v>141</v>
      </c>
      <c r="I4" s="88" t="s">
        <v>142</v>
      </c>
      <c r="J4" s="88" t="s">
        <v>143</v>
      </c>
      <c r="K4" s="88" t="s">
        <v>144</v>
      </c>
    </row>
    <row r="5" spans="1:11" x14ac:dyDescent="0.45">
      <c r="A5" s="89" t="s">
        <v>41</v>
      </c>
      <c r="B5" s="89"/>
      <c r="C5" s="89" t="s">
        <v>42</v>
      </c>
      <c r="D5" s="89" t="s">
        <v>20</v>
      </c>
      <c r="E5" s="89" t="s">
        <v>27</v>
      </c>
      <c r="F5" s="89" t="s">
        <v>146</v>
      </c>
      <c r="G5" s="89">
        <v>13.5</v>
      </c>
      <c r="H5" s="89" t="s">
        <v>28</v>
      </c>
      <c r="I5" s="89" t="s">
        <v>147</v>
      </c>
      <c r="J5" s="89" t="s">
        <v>148</v>
      </c>
      <c r="K5" s="89" t="s">
        <v>149</v>
      </c>
    </row>
    <row r="6" spans="1:11" x14ac:dyDescent="0.45">
      <c r="A6" s="89" t="s">
        <v>150</v>
      </c>
      <c r="B6" s="89" t="s">
        <v>46</v>
      </c>
      <c r="C6" s="89" t="s">
        <v>151</v>
      </c>
      <c r="D6" s="89" t="s">
        <v>13</v>
      </c>
      <c r="E6" s="89" t="s">
        <v>152</v>
      </c>
      <c r="F6" s="89" t="s">
        <v>153</v>
      </c>
      <c r="G6" s="89"/>
      <c r="H6" s="89" t="s">
        <v>17</v>
      </c>
      <c r="I6" s="89"/>
      <c r="J6" s="89" t="s">
        <v>154</v>
      </c>
      <c r="K6" s="89" t="s">
        <v>155</v>
      </c>
    </row>
    <row r="7" spans="1:11" x14ac:dyDescent="0.45">
      <c r="A7" s="89" t="s">
        <v>56</v>
      </c>
      <c r="B7" s="89" t="s">
        <v>46</v>
      </c>
      <c r="C7" s="89" t="s">
        <v>42</v>
      </c>
      <c r="D7" s="89" t="s">
        <v>20</v>
      </c>
      <c r="E7" s="89" t="s">
        <v>29</v>
      </c>
      <c r="F7" s="89">
        <v>8.8000000000000007</v>
      </c>
      <c r="G7" s="89">
        <v>8.8000000000000007</v>
      </c>
      <c r="H7" s="89" t="s">
        <v>30</v>
      </c>
      <c r="I7" s="89" t="s">
        <v>156</v>
      </c>
      <c r="J7" s="89" t="s">
        <v>157</v>
      </c>
      <c r="K7" s="89"/>
    </row>
    <row r="8" spans="1:11" x14ac:dyDescent="0.45">
      <c r="A8" s="89" t="s">
        <v>50</v>
      </c>
      <c r="B8" s="89" t="s">
        <v>46</v>
      </c>
      <c r="C8" s="89" t="s">
        <v>34</v>
      </c>
      <c r="D8" s="89" t="s">
        <v>20</v>
      </c>
      <c r="E8" s="89" t="s">
        <v>158</v>
      </c>
      <c r="F8" s="89">
        <v>18</v>
      </c>
      <c r="G8" s="89">
        <v>19.98</v>
      </c>
      <c r="H8" s="89" t="s">
        <v>26</v>
      </c>
      <c r="I8" s="89" t="s">
        <v>159</v>
      </c>
      <c r="J8" s="89" t="s">
        <v>160</v>
      </c>
      <c r="K8" s="89"/>
    </row>
    <row r="9" spans="1:11" x14ac:dyDescent="0.45">
      <c r="A9" s="89" t="s">
        <v>57</v>
      </c>
      <c r="B9" s="89" t="s">
        <v>46</v>
      </c>
      <c r="C9" s="89" t="s">
        <v>42</v>
      </c>
      <c r="D9" s="89" t="s">
        <v>20</v>
      </c>
      <c r="E9" s="89" t="s">
        <v>29</v>
      </c>
      <c r="F9" s="89" t="s">
        <v>161</v>
      </c>
      <c r="G9" s="89" t="s">
        <v>162</v>
      </c>
      <c r="H9" s="89" t="s">
        <v>163</v>
      </c>
      <c r="I9" s="90" t="s">
        <v>147</v>
      </c>
      <c r="J9" s="89" t="s">
        <v>164</v>
      </c>
      <c r="K9" s="89"/>
    </row>
    <row r="10" spans="1:11" x14ac:dyDescent="0.45">
      <c r="A10" s="89" t="s">
        <v>44</v>
      </c>
      <c r="B10" s="89" t="s">
        <v>165</v>
      </c>
      <c r="C10" s="89" t="s">
        <v>42</v>
      </c>
      <c r="D10" s="89" t="s">
        <v>166</v>
      </c>
      <c r="E10" s="89" t="s">
        <v>21</v>
      </c>
      <c r="F10" s="89" t="s">
        <v>167</v>
      </c>
      <c r="G10" s="89">
        <v>84.26</v>
      </c>
      <c r="H10" s="89" t="s">
        <v>168</v>
      </c>
      <c r="I10" s="89" t="s">
        <v>169</v>
      </c>
      <c r="J10" s="89" t="s">
        <v>154</v>
      </c>
      <c r="K10" s="89" t="s">
        <v>155</v>
      </c>
    </row>
    <row r="11" spans="1:11" x14ac:dyDescent="0.45">
      <c r="A11" s="89" t="s">
        <v>170</v>
      </c>
      <c r="B11" s="89" t="s">
        <v>46</v>
      </c>
      <c r="C11" s="89" t="s">
        <v>12</v>
      </c>
      <c r="D11" s="89" t="s">
        <v>13</v>
      </c>
      <c r="E11" s="89" t="s">
        <v>18</v>
      </c>
      <c r="F11" s="89">
        <v>42</v>
      </c>
      <c r="G11" s="89">
        <v>46.2</v>
      </c>
      <c r="H11" s="89" t="s">
        <v>19</v>
      </c>
      <c r="I11" s="89" t="s">
        <v>169</v>
      </c>
      <c r="J11" s="91" t="s">
        <v>164</v>
      </c>
      <c r="K11" s="89" t="s">
        <v>155</v>
      </c>
    </row>
    <row r="12" spans="1:11" x14ac:dyDescent="0.45">
      <c r="A12" s="89" t="s">
        <v>171</v>
      </c>
      <c r="B12" s="89" t="s">
        <v>46</v>
      </c>
      <c r="C12" s="89" t="s">
        <v>42</v>
      </c>
      <c r="D12" s="89" t="s">
        <v>20</v>
      </c>
      <c r="E12" s="89" t="s">
        <v>172</v>
      </c>
      <c r="F12" s="89">
        <v>24.75</v>
      </c>
      <c r="G12" s="89" t="s">
        <v>173</v>
      </c>
      <c r="H12" s="89" t="s">
        <v>24</v>
      </c>
      <c r="I12" s="89" t="s">
        <v>156</v>
      </c>
      <c r="J12" s="89" t="s">
        <v>148</v>
      </c>
      <c r="K12" s="89" t="s">
        <v>174</v>
      </c>
    </row>
    <row r="13" spans="1:11" x14ac:dyDescent="0.45">
      <c r="A13" s="89" t="s">
        <v>44</v>
      </c>
      <c r="B13" s="89" t="s">
        <v>11</v>
      </c>
      <c r="C13" s="89" t="s">
        <v>42</v>
      </c>
      <c r="D13" s="90" t="s">
        <v>20</v>
      </c>
      <c r="E13" s="89" t="s">
        <v>29</v>
      </c>
      <c r="F13" s="89" t="s">
        <v>175</v>
      </c>
      <c r="G13" s="89" t="s">
        <v>176</v>
      </c>
      <c r="H13" s="89" t="s">
        <v>30</v>
      </c>
      <c r="I13" s="89" t="s">
        <v>156</v>
      </c>
      <c r="J13" s="89" t="s">
        <v>154</v>
      </c>
      <c r="K13" s="89"/>
    </row>
    <row r="14" spans="1:11" x14ac:dyDescent="0.45">
      <c r="A14" s="89" t="s">
        <v>33</v>
      </c>
      <c r="B14" s="89" t="s">
        <v>11</v>
      </c>
      <c r="C14" s="90" t="s">
        <v>34</v>
      </c>
      <c r="D14" s="89" t="s">
        <v>20</v>
      </c>
      <c r="E14" s="89" t="s">
        <v>29</v>
      </c>
      <c r="F14" s="89" t="s">
        <v>177</v>
      </c>
      <c r="G14" s="89">
        <v>8.16</v>
      </c>
      <c r="H14" s="89" t="s">
        <v>30</v>
      </c>
      <c r="I14" s="89" t="s">
        <v>156</v>
      </c>
      <c r="J14" s="89" t="s">
        <v>154</v>
      </c>
      <c r="K14" s="89" t="s">
        <v>174</v>
      </c>
    </row>
    <row r="15" spans="1:11" x14ac:dyDescent="0.45">
      <c r="A15" s="89" t="s">
        <v>178</v>
      </c>
      <c r="B15" s="91" t="s">
        <v>11</v>
      </c>
      <c r="C15" s="89" t="s">
        <v>179</v>
      </c>
      <c r="D15" s="89" t="s">
        <v>13</v>
      </c>
      <c r="E15" s="89" t="s">
        <v>18</v>
      </c>
      <c r="F15" s="89">
        <v>40</v>
      </c>
      <c r="G15" s="89" t="s">
        <v>180</v>
      </c>
      <c r="H15" s="89" t="s">
        <v>19</v>
      </c>
      <c r="I15" s="89"/>
      <c r="J15" s="89" t="s">
        <v>181</v>
      </c>
      <c r="K15" s="89" t="s">
        <v>149</v>
      </c>
    </row>
    <row r="16" spans="1:11" x14ac:dyDescent="0.45">
      <c r="A16" s="89" t="s">
        <v>56</v>
      </c>
      <c r="B16" s="89" t="s">
        <v>46</v>
      </c>
      <c r="C16" s="89" t="s">
        <v>42</v>
      </c>
      <c r="D16" s="89" t="s">
        <v>20</v>
      </c>
      <c r="E16" s="91" t="s">
        <v>182</v>
      </c>
      <c r="F16" s="89">
        <v>18</v>
      </c>
      <c r="G16" s="89" t="s">
        <v>183</v>
      </c>
      <c r="H16" s="89" t="s">
        <v>184</v>
      </c>
      <c r="I16" s="89" t="s">
        <v>156</v>
      </c>
      <c r="J16" s="89" t="s">
        <v>157</v>
      </c>
      <c r="K16" s="89" t="s">
        <v>149</v>
      </c>
    </row>
    <row r="17" spans="1:11" x14ac:dyDescent="0.45">
      <c r="A17" s="89" t="s">
        <v>53</v>
      </c>
      <c r="B17" s="89" t="s">
        <v>185</v>
      </c>
      <c r="C17" s="89" t="s">
        <v>186</v>
      </c>
      <c r="D17" s="89" t="s">
        <v>187</v>
      </c>
      <c r="E17" s="89" t="s">
        <v>188</v>
      </c>
      <c r="F17" s="89">
        <v>18.149999999999999</v>
      </c>
      <c r="G17" s="89">
        <v>19.239999999999998</v>
      </c>
      <c r="H17" s="89" t="s">
        <v>28</v>
      </c>
      <c r="I17" s="89" t="s">
        <v>169</v>
      </c>
      <c r="J17" s="89" t="s">
        <v>160</v>
      </c>
      <c r="K17" s="89" t="s">
        <v>149</v>
      </c>
    </row>
    <row r="18" spans="1:11" x14ac:dyDescent="0.45">
      <c r="A18" s="89" t="s">
        <v>32</v>
      </c>
      <c r="B18" s="91" t="s">
        <v>11</v>
      </c>
      <c r="C18" s="89" t="s">
        <v>12</v>
      </c>
      <c r="D18" s="89" t="s">
        <v>20</v>
      </c>
      <c r="E18" s="89" t="s">
        <v>189</v>
      </c>
      <c r="F18" s="89">
        <v>10.5</v>
      </c>
      <c r="G18" s="89" t="s">
        <v>190</v>
      </c>
      <c r="H18" s="89" t="s">
        <v>28</v>
      </c>
      <c r="I18" s="89" t="s">
        <v>159</v>
      </c>
      <c r="J18" s="89" t="s">
        <v>181</v>
      </c>
      <c r="K18" s="89" t="s">
        <v>191</v>
      </c>
    </row>
    <row r="19" spans="1:11" x14ac:dyDescent="0.45">
      <c r="A19" s="89" t="s">
        <v>32</v>
      </c>
      <c r="B19" s="89" t="s">
        <v>11</v>
      </c>
      <c r="C19" s="90" t="s">
        <v>12</v>
      </c>
      <c r="D19" s="89" t="s">
        <v>192</v>
      </c>
      <c r="E19" s="89" t="s">
        <v>21</v>
      </c>
      <c r="F19" s="89">
        <v>78.75</v>
      </c>
      <c r="G19" s="89" t="s">
        <v>193</v>
      </c>
      <c r="H19" s="89" t="s">
        <v>168</v>
      </c>
      <c r="I19" s="89"/>
      <c r="J19" s="89" t="s">
        <v>160</v>
      </c>
      <c r="K19" s="89"/>
    </row>
    <row r="20" spans="1:11" x14ac:dyDescent="0.45">
      <c r="A20" s="89" t="s">
        <v>41</v>
      </c>
      <c r="B20" s="89" t="s">
        <v>11</v>
      </c>
      <c r="C20" s="89" t="s">
        <v>42</v>
      </c>
      <c r="D20" s="89" t="s">
        <v>194</v>
      </c>
      <c r="E20" s="89" t="s">
        <v>195</v>
      </c>
      <c r="F20" s="89" t="s">
        <v>196</v>
      </c>
      <c r="G20" s="89">
        <v>117</v>
      </c>
      <c r="H20" s="89" t="s">
        <v>15</v>
      </c>
      <c r="I20" s="89" t="s">
        <v>197</v>
      </c>
      <c r="J20" s="89" t="s">
        <v>160</v>
      </c>
      <c r="K20" s="89" t="s">
        <v>198</v>
      </c>
    </row>
    <row r="21" spans="1:11" x14ac:dyDescent="0.45">
      <c r="A21" s="89" t="s">
        <v>32</v>
      </c>
      <c r="B21" s="89" t="s">
        <v>11</v>
      </c>
      <c r="C21" s="89" t="s">
        <v>12</v>
      </c>
      <c r="D21" s="89" t="s">
        <v>199</v>
      </c>
      <c r="E21" s="89" t="s">
        <v>23</v>
      </c>
      <c r="F21" s="89">
        <v>17.5</v>
      </c>
      <c r="G21" s="89">
        <v>17.850000000000001</v>
      </c>
      <c r="H21" s="89" t="s">
        <v>24</v>
      </c>
      <c r="I21" s="89" t="s">
        <v>169</v>
      </c>
      <c r="J21" s="89"/>
      <c r="K21" s="91"/>
    </row>
    <row r="22" spans="1:11" x14ac:dyDescent="0.45">
      <c r="A22" s="89" t="s">
        <v>37</v>
      </c>
      <c r="B22" s="89" t="s">
        <v>11</v>
      </c>
      <c r="C22" s="89" t="s">
        <v>38</v>
      </c>
      <c r="D22" s="89" t="s">
        <v>187</v>
      </c>
      <c r="E22" s="89" t="s">
        <v>200</v>
      </c>
      <c r="F22" s="89" t="s">
        <v>201</v>
      </c>
      <c r="G22" s="89">
        <v>25.75</v>
      </c>
      <c r="H22" s="89" t="s">
        <v>24</v>
      </c>
      <c r="I22" s="89" t="s">
        <v>169</v>
      </c>
      <c r="J22" s="89" t="s">
        <v>154</v>
      </c>
      <c r="K22" s="89" t="s">
        <v>174</v>
      </c>
    </row>
    <row r="23" spans="1:11" x14ac:dyDescent="0.45">
      <c r="A23" s="89" t="s">
        <v>52</v>
      </c>
      <c r="B23" s="89" t="s">
        <v>46</v>
      </c>
      <c r="C23" s="89" t="s">
        <v>38</v>
      </c>
      <c r="D23" s="89" t="s">
        <v>20</v>
      </c>
      <c r="E23" s="89" t="s">
        <v>23</v>
      </c>
      <c r="F23" s="89">
        <v>27.5</v>
      </c>
      <c r="G23" s="89">
        <v>28.32</v>
      </c>
      <c r="H23" s="89" t="s">
        <v>24</v>
      </c>
      <c r="I23" s="89" t="s">
        <v>156</v>
      </c>
      <c r="J23" s="89"/>
      <c r="K23" s="90" t="s">
        <v>191</v>
      </c>
    </row>
    <row r="24" spans="1:11" x14ac:dyDescent="0.45">
      <c r="A24" s="89" t="s">
        <v>55</v>
      </c>
      <c r="B24" s="89" t="s">
        <v>46</v>
      </c>
      <c r="C24" s="89" t="s">
        <v>42</v>
      </c>
      <c r="D24" s="89" t="s">
        <v>202</v>
      </c>
      <c r="E24" s="89" t="s">
        <v>195</v>
      </c>
      <c r="F24" s="89">
        <v>124.2</v>
      </c>
      <c r="G24" s="89" t="s">
        <v>203</v>
      </c>
      <c r="H24" s="89" t="s">
        <v>204</v>
      </c>
      <c r="I24" s="89" t="s">
        <v>197</v>
      </c>
      <c r="J24" s="89" t="s">
        <v>148</v>
      </c>
      <c r="K24" s="89" t="s">
        <v>155</v>
      </c>
    </row>
    <row r="25" spans="1:11" x14ac:dyDescent="0.45">
      <c r="A25" s="89" t="s">
        <v>49</v>
      </c>
      <c r="B25" s="89" t="s">
        <v>46</v>
      </c>
      <c r="C25" s="89" t="s">
        <v>34</v>
      </c>
      <c r="D25" s="89" t="s">
        <v>13</v>
      </c>
      <c r="E25" s="89" t="s">
        <v>14</v>
      </c>
      <c r="F25" s="89" t="s">
        <v>205</v>
      </c>
      <c r="G25" s="89" t="s">
        <v>206</v>
      </c>
      <c r="H25" s="89" t="s">
        <v>15</v>
      </c>
      <c r="I25" s="89"/>
      <c r="J25" s="89"/>
      <c r="K25" s="89"/>
    </row>
    <row r="26" spans="1:11" x14ac:dyDescent="0.45">
      <c r="A26" s="89" t="s">
        <v>207</v>
      </c>
      <c r="B26" s="89" t="s">
        <v>46</v>
      </c>
      <c r="C26" s="89" t="s">
        <v>42</v>
      </c>
      <c r="D26" s="89" t="s">
        <v>13</v>
      </c>
      <c r="E26" s="89" t="s">
        <v>152</v>
      </c>
      <c r="F26" s="89">
        <v>53.9</v>
      </c>
      <c r="G26" s="89">
        <v>44.2</v>
      </c>
      <c r="H26" s="89" t="s">
        <v>208</v>
      </c>
      <c r="I26" s="89" t="s">
        <v>197</v>
      </c>
      <c r="J26" s="89"/>
      <c r="K26" s="89" t="s">
        <v>155</v>
      </c>
    </row>
    <row r="27" spans="1:11" x14ac:dyDescent="0.45">
      <c r="A27" s="89" t="s">
        <v>10</v>
      </c>
      <c r="B27" s="89" t="s">
        <v>11</v>
      </c>
      <c r="C27" s="89" t="s">
        <v>209</v>
      </c>
      <c r="D27" s="89" t="s">
        <v>20</v>
      </c>
      <c r="E27" s="89" t="s">
        <v>23</v>
      </c>
      <c r="F27" s="89">
        <v>1E-4</v>
      </c>
      <c r="G27" s="89" t="s">
        <v>210</v>
      </c>
      <c r="H27" s="89" t="s">
        <v>211</v>
      </c>
      <c r="I27" s="89" t="s">
        <v>197</v>
      </c>
      <c r="J27" s="89"/>
      <c r="K27" s="90" t="s">
        <v>212</v>
      </c>
    </row>
    <row r="28" spans="1:11" x14ac:dyDescent="0.45">
      <c r="A28" s="89" t="s">
        <v>213</v>
      </c>
      <c r="B28" s="90" t="s">
        <v>46</v>
      </c>
      <c r="C28" s="91" t="s">
        <v>12</v>
      </c>
      <c r="D28" s="89" t="s">
        <v>199</v>
      </c>
      <c r="E28" s="89" t="s">
        <v>23</v>
      </c>
      <c r="F28" s="89">
        <v>19.25</v>
      </c>
      <c r="G28" s="89">
        <v>19.059999999999999</v>
      </c>
      <c r="H28" s="89" t="s">
        <v>211</v>
      </c>
      <c r="I28" s="89" t="s">
        <v>197</v>
      </c>
      <c r="J28" s="89" t="s">
        <v>148</v>
      </c>
      <c r="K28" s="89" t="s">
        <v>198</v>
      </c>
    </row>
    <row r="29" spans="1:11" x14ac:dyDescent="0.45">
      <c r="A29" s="89" t="s">
        <v>53</v>
      </c>
      <c r="B29" s="91" t="s">
        <v>214</v>
      </c>
      <c r="C29" s="89" t="s">
        <v>38</v>
      </c>
      <c r="D29" s="91" t="s">
        <v>20</v>
      </c>
      <c r="E29" s="89" t="s">
        <v>215</v>
      </c>
      <c r="F29" s="89" t="s">
        <v>216</v>
      </c>
      <c r="G29" s="89" t="s">
        <v>217</v>
      </c>
      <c r="H29" s="89" t="s">
        <v>30</v>
      </c>
      <c r="I29" s="89" t="s">
        <v>156</v>
      </c>
      <c r="J29" s="89" t="s">
        <v>154</v>
      </c>
      <c r="K29" s="89" t="s">
        <v>149</v>
      </c>
    </row>
    <row r="30" spans="1:11" x14ac:dyDescent="0.45">
      <c r="A30" s="89" t="s">
        <v>218</v>
      </c>
      <c r="B30" s="91" t="s">
        <v>11</v>
      </c>
      <c r="C30" s="89" t="s">
        <v>12</v>
      </c>
      <c r="D30" s="89" t="s">
        <v>20</v>
      </c>
      <c r="E30" s="89" t="s">
        <v>219</v>
      </c>
      <c r="F30" s="89">
        <v>14</v>
      </c>
      <c r="G30" s="89" t="s">
        <v>220</v>
      </c>
      <c r="H30" s="89" t="s">
        <v>26</v>
      </c>
      <c r="I30" s="89" t="s">
        <v>221</v>
      </c>
      <c r="J30" s="89" t="s">
        <v>160</v>
      </c>
      <c r="K30" s="89" t="s">
        <v>191</v>
      </c>
    </row>
    <row r="31" spans="1:11" x14ac:dyDescent="0.45">
      <c r="A31" s="89" t="s">
        <v>44</v>
      </c>
      <c r="B31" s="91" t="s">
        <v>165</v>
      </c>
      <c r="C31" s="89" t="s">
        <v>42</v>
      </c>
      <c r="D31" s="89" t="s">
        <v>166</v>
      </c>
      <c r="E31" s="89" t="s">
        <v>21</v>
      </c>
      <c r="F31" s="89" t="s">
        <v>167</v>
      </c>
      <c r="G31" s="89">
        <v>84.26</v>
      </c>
      <c r="H31" s="89" t="s">
        <v>222</v>
      </c>
      <c r="I31" s="89" t="s">
        <v>147</v>
      </c>
      <c r="J31" s="89" t="s">
        <v>154</v>
      </c>
      <c r="K31" s="89" t="s">
        <v>155</v>
      </c>
    </row>
    <row r="32" spans="1:11" x14ac:dyDescent="0.45">
      <c r="A32" s="90" t="s">
        <v>223</v>
      </c>
      <c r="B32" s="89" t="s">
        <v>224</v>
      </c>
      <c r="C32" s="89" t="s">
        <v>42</v>
      </c>
      <c r="D32" s="89" t="s">
        <v>20</v>
      </c>
      <c r="E32" s="89" t="s">
        <v>225</v>
      </c>
      <c r="F32" s="89">
        <v>108.9</v>
      </c>
      <c r="G32" s="89"/>
      <c r="H32" s="89" t="s">
        <v>22</v>
      </c>
      <c r="I32" s="89" t="s">
        <v>156</v>
      </c>
      <c r="J32" s="89" t="s">
        <v>181</v>
      </c>
      <c r="K32" s="89"/>
    </row>
    <row r="33" spans="1:11" x14ac:dyDescent="0.45">
      <c r="A33" s="89" t="s">
        <v>226</v>
      </c>
      <c r="B33" s="89" t="s">
        <v>46</v>
      </c>
      <c r="C33" s="89" t="s">
        <v>38</v>
      </c>
      <c r="D33" s="89" t="s">
        <v>13</v>
      </c>
      <c r="E33" s="89" t="s">
        <v>14</v>
      </c>
      <c r="F33" s="89">
        <v>138</v>
      </c>
      <c r="G33" s="89" t="s">
        <v>227</v>
      </c>
      <c r="H33" s="89" t="s">
        <v>15</v>
      </c>
      <c r="I33" s="90" t="s">
        <v>169</v>
      </c>
      <c r="J33" s="89" t="s">
        <v>154</v>
      </c>
      <c r="K33" s="89" t="s">
        <v>191</v>
      </c>
    </row>
    <row r="34" spans="1:11" x14ac:dyDescent="0.45">
      <c r="A34" s="89" t="s">
        <v>33</v>
      </c>
      <c r="B34" s="89"/>
      <c r="C34" s="89" t="s">
        <v>228</v>
      </c>
      <c r="D34" s="89" t="s">
        <v>229</v>
      </c>
      <c r="E34" s="89" t="s">
        <v>14</v>
      </c>
      <c r="F34" s="89">
        <v>100</v>
      </c>
      <c r="G34" s="91">
        <v>102</v>
      </c>
      <c r="H34" s="89" t="s">
        <v>230</v>
      </c>
      <c r="I34" s="89"/>
      <c r="J34" s="89" t="s">
        <v>164</v>
      </c>
      <c r="K34" s="89" t="s">
        <v>155</v>
      </c>
    </row>
    <row r="35" spans="1:11" x14ac:dyDescent="0.45">
      <c r="A35" s="89" t="s">
        <v>231</v>
      </c>
      <c r="B35" s="89" t="s">
        <v>46</v>
      </c>
      <c r="C35" s="89" t="s">
        <v>34</v>
      </c>
      <c r="D35" s="89" t="s">
        <v>20</v>
      </c>
      <c r="E35" s="90" t="s">
        <v>29</v>
      </c>
      <c r="F35" s="89" t="s">
        <v>232</v>
      </c>
      <c r="G35" s="89" t="s">
        <v>233</v>
      </c>
      <c r="H35" s="89" t="s">
        <v>234</v>
      </c>
      <c r="I35" s="89" t="s">
        <v>147</v>
      </c>
      <c r="J35" s="89" t="s">
        <v>181</v>
      </c>
      <c r="K35" s="89" t="s">
        <v>149</v>
      </c>
    </row>
    <row r="36" spans="1:11" x14ac:dyDescent="0.45">
      <c r="A36" s="89" t="s">
        <v>37</v>
      </c>
      <c r="B36" s="89" t="s">
        <v>235</v>
      </c>
      <c r="C36" s="89" t="s">
        <v>38</v>
      </c>
      <c r="D36" s="89" t="s">
        <v>20</v>
      </c>
      <c r="E36" s="91" t="s">
        <v>25</v>
      </c>
      <c r="F36" s="89">
        <v>20</v>
      </c>
      <c r="G36" s="89" t="s">
        <v>236</v>
      </c>
      <c r="H36" s="89" t="s">
        <v>26</v>
      </c>
      <c r="I36" s="89" t="s">
        <v>169</v>
      </c>
      <c r="J36" s="89" t="s">
        <v>154</v>
      </c>
      <c r="K36" s="89" t="s">
        <v>198</v>
      </c>
    </row>
    <row r="37" spans="1:11" x14ac:dyDescent="0.45">
      <c r="A37" s="89" t="s">
        <v>56</v>
      </c>
      <c r="B37" s="89" t="s">
        <v>46</v>
      </c>
      <c r="C37" s="89" t="s">
        <v>42</v>
      </c>
      <c r="D37" s="89" t="s">
        <v>237</v>
      </c>
      <c r="E37" s="89" t="s">
        <v>27</v>
      </c>
      <c r="F37" s="89">
        <v>13.2</v>
      </c>
      <c r="G37" s="90" t="s">
        <v>238</v>
      </c>
      <c r="H37" s="89" t="s">
        <v>239</v>
      </c>
      <c r="I37" s="89" t="s">
        <v>147</v>
      </c>
      <c r="J37" s="89"/>
      <c r="K37" s="89"/>
    </row>
    <row r="38" spans="1:11" x14ac:dyDescent="0.45">
      <c r="A38" s="89" t="s">
        <v>240</v>
      </c>
      <c r="B38" s="89" t="s">
        <v>46</v>
      </c>
      <c r="C38" s="89" t="s">
        <v>42</v>
      </c>
      <c r="D38" s="89" t="s">
        <v>20</v>
      </c>
      <c r="E38" s="89" t="s">
        <v>188</v>
      </c>
      <c r="F38" s="89">
        <v>11.55</v>
      </c>
      <c r="G38" s="89" t="s">
        <v>241</v>
      </c>
      <c r="H38" s="89" t="s">
        <v>239</v>
      </c>
      <c r="I38" s="89" t="s">
        <v>169</v>
      </c>
      <c r="J38" s="89" t="s">
        <v>148</v>
      </c>
      <c r="K38" s="89"/>
    </row>
    <row r="39" spans="1:11" x14ac:dyDescent="0.45">
      <c r="A39" s="89" t="s">
        <v>57</v>
      </c>
      <c r="B39" s="89" t="s">
        <v>46</v>
      </c>
      <c r="C39" s="89" t="s">
        <v>42</v>
      </c>
      <c r="D39" s="89" t="s">
        <v>202</v>
      </c>
      <c r="E39" s="89" t="s">
        <v>242</v>
      </c>
      <c r="F39" s="89">
        <v>42</v>
      </c>
      <c r="G39" s="89">
        <v>47.88</v>
      </c>
      <c r="H39" s="89" t="s">
        <v>19</v>
      </c>
      <c r="I39" s="89" t="s">
        <v>197</v>
      </c>
      <c r="J39" s="91" t="s">
        <v>157</v>
      </c>
      <c r="K39" s="89" t="s">
        <v>149</v>
      </c>
    </row>
    <row r="40" spans="1:11" x14ac:dyDescent="0.45">
      <c r="A40" s="89" t="s">
        <v>54</v>
      </c>
      <c r="B40" s="89" t="s">
        <v>46</v>
      </c>
      <c r="C40" s="89" t="s">
        <v>38</v>
      </c>
      <c r="D40" s="89" t="s">
        <v>192</v>
      </c>
      <c r="E40" s="89" t="s">
        <v>243</v>
      </c>
      <c r="F40" s="89">
        <v>121</v>
      </c>
      <c r="G40" s="89">
        <v>130.68</v>
      </c>
      <c r="H40" s="89" t="s">
        <v>22</v>
      </c>
      <c r="I40" s="89"/>
      <c r="J40" s="89" t="s">
        <v>181</v>
      </c>
      <c r="K40" s="89" t="s">
        <v>212</v>
      </c>
    </row>
    <row r="41" spans="1:11" x14ac:dyDescent="0.45">
      <c r="A41" s="89" t="s">
        <v>31</v>
      </c>
      <c r="B41" s="89" t="s">
        <v>11</v>
      </c>
      <c r="C41" s="89" t="s">
        <v>12</v>
      </c>
      <c r="D41" s="89" t="s">
        <v>194</v>
      </c>
      <c r="E41" s="89" t="s">
        <v>18</v>
      </c>
      <c r="F41" s="89">
        <v>35</v>
      </c>
      <c r="G41" s="89">
        <v>36.75</v>
      </c>
      <c r="H41" s="89" t="s">
        <v>244</v>
      </c>
      <c r="I41" s="89"/>
      <c r="J41" s="89" t="s">
        <v>148</v>
      </c>
      <c r="K41" s="89" t="s">
        <v>174</v>
      </c>
    </row>
    <row r="42" spans="1:11" x14ac:dyDescent="0.45">
      <c r="A42" s="90" t="s">
        <v>245</v>
      </c>
      <c r="B42" s="89" t="s">
        <v>165</v>
      </c>
      <c r="C42" s="91" t="s">
        <v>38</v>
      </c>
      <c r="D42" s="89" t="s">
        <v>199</v>
      </c>
      <c r="E42" s="89" t="s">
        <v>246</v>
      </c>
      <c r="F42" s="89">
        <v>10.1</v>
      </c>
      <c r="G42" s="89">
        <v>10</v>
      </c>
      <c r="H42" s="89" t="s">
        <v>30</v>
      </c>
      <c r="I42" s="89" t="s">
        <v>147</v>
      </c>
      <c r="J42" s="89" t="s">
        <v>154</v>
      </c>
      <c r="K42" s="89" t="s">
        <v>149</v>
      </c>
    </row>
    <row r="43" spans="1:11" x14ac:dyDescent="0.45">
      <c r="A43" s="89" t="s">
        <v>43</v>
      </c>
      <c r="B43" s="89" t="s">
        <v>11</v>
      </c>
      <c r="C43" s="89" t="s">
        <v>42</v>
      </c>
      <c r="D43" s="89" t="s">
        <v>13</v>
      </c>
      <c r="E43" s="89" t="s">
        <v>195</v>
      </c>
      <c r="F43" s="89" t="s">
        <v>247</v>
      </c>
      <c r="G43" s="89">
        <v>103</v>
      </c>
      <c r="H43" s="91" t="s">
        <v>230</v>
      </c>
      <c r="I43" s="89" t="s">
        <v>159</v>
      </c>
      <c r="J43" s="89"/>
      <c r="K43" s="90" t="s">
        <v>212</v>
      </c>
    </row>
    <row r="44" spans="1:11" x14ac:dyDescent="0.45">
      <c r="A44" s="89" t="s">
        <v>248</v>
      </c>
      <c r="B44" s="89" t="s">
        <v>11</v>
      </c>
      <c r="C44" s="89" t="s">
        <v>34</v>
      </c>
      <c r="D44" s="89" t="s">
        <v>13</v>
      </c>
      <c r="E44" s="89" t="s">
        <v>18</v>
      </c>
      <c r="F44" s="89">
        <v>40</v>
      </c>
      <c r="G44" s="89">
        <v>42.8</v>
      </c>
      <c r="H44" s="89" t="s">
        <v>19</v>
      </c>
      <c r="I44" s="89" t="s">
        <v>159</v>
      </c>
      <c r="J44" s="89"/>
      <c r="K44" s="89" t="s">
        <v>174</v>
      </c>
    </row>
    <row r="45" spans="1:11" x14ac:dyDescent="0.45">
      <c r="A45" s="89" t="s">
        <v>31</v>
      </c>
      <c r="B45" s="89" t="s">
        <v>11</v>
      </c>
      <c r="C45" s="89" t="s">
        <v>12</v>
      </c>
      <c r="D45" s="89" t="s">
        <v>20</v>
      </c>
      <c r="E45" s="89" t="s">
        <v>21</v>
      </c>
      <c r="F45" s="89">
        <v>78.75</v>
      </c>
      <c r="G45" s="89">
        <v>81.11</v>
      </c>
      <c r="H45" s="91" t="s">
        <v>168</v>
      </c>
      <c r="I45" s="89" t="s">
        <v>159</v>
      </c>
      <c r="J45" s="89" t="s">
        <v>157</v>
      </c>
      <c r="K45" s="89" t="s">
        <v>174</v>
      </c>
    </row>
    <row r="46" spans="1:11" x14ac:dyDescent="0.45">
      <c r="A46" s="89" t="s">
        <v>49</v>
      </c>
      <c r="B46" s="89" t="s">
        <v>46</v>
      </c>
      <c r="C46" s="91" t="s">
        <v>249</v>
      </c>
      <c r="D46" s="89" t="s">
        <v>199</v>
      </c>
      <c r="E46" s="89" t="s">
        <v>182</v>
      </c>
      <c r="F46" s="89" t="s">
        <v>250</v>
      </c>
      <c r="G46" s="89" t="s">
        <v>251</v>
      </c>
      <c r="H46" s="89" t="s">
        <v>26</v>
      </c>
      <c r="I46" s="89"/>
      <c r="J46" s="91" t="s">
        <v>181</v>
      </c>
      <c r="K46" s="89"/>
    </row>
    <row r="47" spans="1:11" x14ac:dyDescent="0.45">
      <c r="A47" s="89" t="s">
        <v>54</v>
      </c>
      <c r="B47" s="89" t="s">
        <v>214</v>
      </c>
      <c r="C47" s="89" t="s">
        <v>38</v>
      </c>
      <c r="D47" s="89" t="s">
        <v>13</v>
      </c>
      <c r="E47" s="89" t="s">
        <v>252</v>
      </c>
      <c r="F47" s="89">
        <v>60</v>
      </c>
      <c r="G47" s="89">
        <v>66.599999999999994</v>
      </c>
      <c r="H47" s="89" t="s">
        <v>19</v>
      </c>
      <c r="I47" s="89" t="s">
        <v>221</v>
      </c>
      <c r="J47" s="89" t="s">
        <v>181</v>
      </c>
      <c r="K47" s="89" t="s">
        <v>212</v>
      </c>
    </row>
    <row r="48" spans="1:11" x14ac:dyDescent="0.45">
      <c r="A48" s="89" t="s">
        <v>253</v>
      </c>
      <c r="B48" s="89" t="s">
        <v>46</v>
      </c>
      <c r="C48" s="89" t="s">
        <v>34</v>
      </c>
      <c r="D48" s="89" t="s">
        <v>254</v>
      </c>
      <c r="E48" s="89" t="s">
        <v>14</v>
      </c>
      <c r="F48" s="89">
        <v>110.4</v>
      </c>
      <c r="G48" s="89" t="s">
        <v>255</v>
      </c>
      <c r="H48" s="89" t="s">
        <v>15</v>
      </c>
      <c r="I48" s="89" t="s">
        <v>156</v>
      </c>
      <c r="J48" s="89"/>
      <c r="K48" s="89" t="s">
        <v>191</v>
      </c>
    </row>
    <row r="49" spans="1:11" x14ac:dyDescent="0.45">
      <c r="A49" s="89" t="s">
        <v>48</v>
      </c>
      <c r="B49" s="89" t="s">
        <v>46</v>
      </c>
      <c r="C49" s="89" t="s">
        <v>12</v>
      </c>
      <c r="D49" s="89" t="s">
        <v>20</v>
      </c>
      <c r="E49" s="89" t="s">
        <v>256</v>
      </c>
      <c r="F49" s="89">
        <v>7.7</v>
      </c>
      <c r="G49" s="89" t="s">
        <v>257</v>
      </c>
      <c r="H49" s="89" t="s">
        <v>258</v>
      </c>
      <c r="I49" s="89" t="s">
        <v>169</v>
      </c>
      <c r="J49" s="89"/>
      <c r="K49" s="89"/>
    </row>
    <row r="50" spans="1:11" x14ac:dyDescent="0.45">
      <c r="A50" s="89" t="s">
        <v>50</v>
      </c>
      <c r="B50" s="89" t="s">
        <v>259</v>
      </c>
      <c r="C50" s="89" t="s">
        <v>34</v>
      </c>
      <c r="D50" s="89" t="s">
        <v>20</v>
      </c>
      <c r="E50" s="91" t="s">
        <v>23</v>
      </c>
      <c r="F50" s="89">
        <v>22</v>
      </c>
      <c r="G50" s="89" t="s">
        <v>260</v>
      </c>
      <c r="H50" s="89" t="s">
        <v>24</v>
      </c>
      <c r="I50" s="89" t="s">
        <v>156</v>
      </c>
      <c r="J50" s="89" t="s">
        <v>160</v>
      </c>
      <c r="K50" s="89" t="s">
        <v>212</v>
      </c>
    </row>
    <row r="51" spans="1:11" x14ac:dyDescent="0.45">
      <c r="A51" s="89" t="s">
        <v>57</v>
      </c>
      <c r="B51" s="89" t="s">
        <v>46</v>
      </c>
      <c r="C51" s="89" t="s">
        <v>42</v>
      </c>
      <c r="D51" s="89" t="s">
        <v>20</v>
      </c>
      <c r="E51" s="91" t="s">
        <v>261</v>
      </c>
      <c r="F51" s="89" t="s">
        <v>262</v>
      </c>
      <c r="G51" s="89">
        <v>17.010000000000002</v>
      </c>
      <c r="H51" s="89" t="s">
        <v>263</v>
      </c>
      <c r="I51" s="89"/>
      <c r="J51" s="89" t="s">
        <v>181</v>
      </c>
      <c r="K51" s="89" t="s">
        <v>155</v>
      </c>
    </row>
    <row r="52" spans="1:11" x14ac:dyDescent="0.45">
      <c r="A52" s="89" t="s">
        <v>48</v>
      </c>
      <c r="B52" s="89"/>
      <c r="C52" s="90" t="s">
        <v>12</v>
      </c>
      <c r="D52" s="89" t="s">
        <v>13</v>
      </c>
      <c r="E52" s="89" t="s">
        <v>264</v>
      </c>
      <c r="F52" s="89">
        <v>96.6</v>
      </c>
      <c r="G52" s="89">
        <v>100.46</v>
      </c>
      <c r="H52" s="89" t="s">
        <v>204</v>
      </c>
      <c r="I52" s="89" t="s">
        <v>156</v>
      </c>
      <c r="J52" s="89"/>
      <c r="K52" s="89" t="s">
        <v>155</v>
      </c>
    </row>
    <row r="53" spans="1:11" x14ac:dyDescent="0.45">
      <c r="A53" s="89" t="s">
        <v>265</v>
      </c>
      <c r="B53" s="89" t="s">
        <v>11</v>
      </c>
      <c r="C53" s="89" t="s">
        <v>38</v>
      </c>
      <c r="D53" s="89" t="s">
        <v>20</v>
      </c>
      <c r="E53" s="89" t="s">
        <v>27</v>
      </c>
      <c r="F53" s="89">
        <v>16.5</v>
      </c>
      <c r="G53" s="89">
        <v>17.32</v>
      </c>
      <c r="H53" s="89" t="s">
        <v>28</v>
      </c>
      <c r="I53" s="89"/>
      <c r="J53" s="89" t="s">
        <v>157</v>
      </c>
      <c r="K53" s="89"/>
    </row>
    <row r="54" spans="1:11" x14ac:dyDescent="0.45">
      <c r="A54" s="89" t="s">
        <v>266</v>
      </c>
      <c r="B54" s="89" t="s">
        <v>46</v>
      </c>
      <c r="C54" s="89" t="s">
        <v>34</v>
      </c>
      <c r="D54" s="89" t="s">
        <v>237</v>
      </c>
      <c r="E54" s="90" t="s">
        <v>267</v>
      </c>
      <c r="F54" s="89" t="s">
        <v>268</v>
      </c>
      <c r="G54" s="89">
        <v>13.73</v>
      </c>
      <c r="H54" s="89" t="s">
        <v>28</v>
      </c>
      <c r="I54" s="89" t="s">
        <v>221</v>
      </c>
      <c r="J54" s="89"/>
      <c r="K54" s="89" t="s">
        <v>149</v>
      </c>
    </row>
    <row r="55" spans="1:11" x14ac:dyDescent="0.45">
      <c r="A55" s="91" t="s">
        <v>207</v>
      </c>
      <c r="B55" s="89" t="s">
        <v>46</v>
      </c>
      <c r="C55" s="89" t="s">
        <v>42</v>
      </c>
      <c r="D55" s="89" t="s">
        <v>13</v>
      </c>
      <c r="E55" s="89" t="s">
        <v>152</v>
      </c>
      <c r="F55" s="89">
        <v>53.9</v>
      </c>
      <c r="G55" s="89">
        <v>44.2</v>
      </c>
      <c r="H55" s="89" t="s">
        <v>17</v>
      </c>
      <c r="I55" s="89"/>
      <c r="J55" s="89" t="s">
        <v>148</v>
      </c>
      <c r="K55" s="89" t="s">
        <v>174</v>
      </c>
    </row>
    <row r="56" spans="1:11" x14ac:dyDescent="0.45">
      <c r="A56" s="92" t="s">
        <v>145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</row>
    <row r="57" spans="1:11" x14ac:dyDescent="0.45">
      <c r="A57" s="90" t="s">
        <v>35</v>
      </c>
      <c r="B57" s="89" t="s">
        <v>11</v>
      </c>
      <c r="C57" s="89" t="s">
        <v>34</v>
      </c>
      <c r="D57" s="89" t="s">
        <v>20</v>
      </c>
      <c r="E57" s="89" t="s">
        <v>25</v>
      </c>
      <c r="F57" s="89" t="s">
        <v>269</v>
      </c>
      <c r="G57" s="89">
        <v>16.8</v>
      </c>
      <c r="H57" s="89" t="s">
        <v>263</v>
      </c>
      <c r="I57" s="89" t="s">
        <v>147</v>
      </c>
      <c r="J57" s="89" t="s">
        <v>164</v>
      </c>
      <c r="K57" s="89" t="s">
        <v>212</v>
      </c>
    </row>
    <row r="58" spans="1:11" x14ac:dyDescent="0.45">
      <c r="A58" s="89" t="s">
        <v>270</v>
      </c>
      <c r="B58" s="89" t="s">
        <v>271</v>
      </c>
      <c r="C58" s="89" t="s">
        <v>38</v>
      </c>
      <c r="D58" s="89" t="s">
        <v>13</v>
      </c>
      <c r="E58" s="89" t="s">
        <v>272</v>
      </c>
      <c r="F58" s="89" t="s">
        <v>273</v>
      </c>
      <c r="G58" s="89" t="s">
        <v>274</v>
      </c>
      <c r="H58" s="89" t="s">
        <v>19</v>
      </c>
      <c r="I58" s="89"/>
      <c r="J58" s="89" t="s">
        <v>148</v>
      </c>
      <c r="K58" s="89" t="s">
        <v>174</v>
      </c>
    </row>
    <row r="59" spans="1:11" x14ac:dyDescent="0.45">
      <c r="A59" s="89" t="s">
        <v>44</v>
      </c>
      <c r="B59" s="89" t="s">
        <v>11</v>
      </c>
      <c r="C59" s="89" t="s">
        <v>42</v>
      </c>
      <c r="D59" s="89" t="s">
        <v>13</v>
      </c>
      <c r="E59" s="89" t="s">
        <v>275</v>
      </c>
      <c r="F59" s="91" t="s">
        <v>276</v>
      </c>
      <c r="G59" s="89">
        <v>46.73</v>
      </c>
      <c r="H59" s="89" t="s">
        <v>277</v>
      </c>
      <c r="I59" s="89" t="s">
        <v>147</v>
      </c>
      <c r="J59" s="89" t="s">
        <v>160</v>
      </c>
      <c r="K59" s="89"/>
    </row>
    <row r="60" spans="1:11" x14ac:dyDescent="0.45">
      <c r="A60" s="89" t="s">
        <v>47</v>
      </c>
      <c r="B60" s="89" t="s">
        <v>46</v>
      </c>
      <c r="C60" s="91" t="s">
        <v>12</v>
      </c>
      <c r="D60" s="89" t="s">
        <v>20</v>
      </c>
      <c r="E60" s="89" t="s">
        <v>21</v>
      </c>
      <c r="F60" s="89" t="s">
        <v>278</v>
      </c>
      <c r="G60" s="89" t="s">
        <v>279</v>
      </c>
      <c r="H60" s="89" t="s">
        <v>222</v>
      </c>
      <c r="I60" s="90" t="s">
        <v>159</v>
      </c>
      <c r="J60" s="89" t="s">
        <v>160</v>
      </c>
      <c r="K60" s="89" t="s">
        <v>191</v>
      </c>
    </row>
    <row r="61" spans="1:11" x14ac:dyDescent="0.45">
      <c r="A61" s="89" t="s">
        <v>280</v>
      </c>
      <c r="B61" s="89" t="s">
        <v>46</v>
      </c>
      <c r="C61" s="89" t="s">
        <v>281</v>
      </c>
      <c r="D61" s="89" t="s">
        <v>282</v>
      </c>
      <c r="E61" s="89" t="s">
        <v>172</v>
      </c>
      <c r="F61" s="89">
        <v>19.25</v>
      </c>
      <c r="G61" s="89">
        <v>19.64</v>
      </c>
      <c r="H61" s="89" t="s">
        <v>24</v>
      </c>
      <c r="I61" s="89" t="s">
        <v>147</v>
      </c>
      <c r="J61" s="89"/>
      <c r="K61" s="89" t="s">
        <v>198</v>
      </c>
    </row>
    <row r="62" spans="1:11" x14ac:dyDescent="0.45">
      <c r="A62" s="89" t="s">
        <v>283</v>
      </c>
      <c r="B62" s="89" t="s">
        <v>214</v>
      </c>
      <c r="C62" s="89" t="s">
        <v>38</v>
      </c>
      <c r="D62" s="89" t="s">
        <v>166</v>
      </c>
      <c r="E62" s="89" t="s">
        <v>158</v>
      </c>
      <c r="F62" s="89">
        <v>24.98</v>
      </c>
      <c r="G62" s="89" t="s">
        <v>284</v>
      </c>
      <c r="H62" s="89" t="s">
        <v>26</v>
      </c>
      <c r="I62" s="89" t="s">
        <v>159</v>
      </c>
      <c r="J62" s="89"/>
      <c r="K62" s="89" t="s">
        <v>198</v>
      </c>
    </row>
    <row r="63" spans="1:11" x14ac:dyDescent="0.45">
      <c r="A63" s="90" t="s">
        <v>33</v>
      </c>
      <c r="B63" s="89"/>
      <c r="C63" s="89" t="s">
        <v>228</v>
      </c>
      <c r="D63" s="89" t="s">
        <v>229</v>
      </c>
      <c r="E63" s="89" t="s">
        <v>14</v>
      </c>
      <c r="F63" s="89">
        <v>100</v>
      </c>
      <c r="G63" s="89">
        <v>102</v>
      </c>
      <c r="H63" s="89" t="s">
        <v>285</v>
      </c>
      <c r="I63" s="89" t="s">
        <v>221</v>
      </c>
      <c r="J63" s="89" t="s">
        <v>154</v>
      </c>
      <c r="K63" s="91" t="s">
        <v>212</v>
      </c>
    </row>
    <row r="64" spans="1:11" x14ac:dyDescent="0.45">
      <c r="A64" s="89" t="s">
        <v>51</v>
      </c>
      <c r="B64" s="90" t="s">
        <v>46</v>
      </c>
      <c r="C64" s="89" t="s">
        <v>228</v>
      </c>
      <c r="D64" s="89" t="s">
        <v>20</v>
      </c>
      <c r="E64" s="89" t="s">
        <v>243</v>
      </c>
      <c r="F64" s="89">
        <v>96.8</v>
      </c>
      <c r="G64" s="89">
        <v>104.54</v>
      </c>
      <c r="H64" s="89" t="s">
        <v>286</v>
      </c>
      <c r="I64" s="89" t="s">
        <v>159</v>
      </c>
      <c r="J64" s="89" t="s">
        <v>160</v>
      </c>
      <c r="K64" s="89" t="s">
        <v>174</v>
      </c>
    </row>
    <row r="65" spans="1:11" x14ac:dyDescent="0.45">
      <c r="A65" s="89" t="s">
        <v>50</v>
      </c>
      <c r="B65" s="89" t="s">
        <v>46</v>
      </c>
      <c r="C65" s="89" t="s">
        <v>34</v>
      </c>
      <c r="D65" s="89" t="s">
        <v>254</v>
      </c>
      <c r="E65" s="91" t="s">
        <v>252</v>
      </c>
      <c r="F65" s="89">
        <v>48</v>
      </c>
      <c r="G65" s="89" t="s">
        <v>287</v>
      </c>
      <c r="H65" s="89" t="s">
        <v>19</v>
      </c>
      <c r="I65" s="89" t="s">
        <v>169</v>
      </c>
      <c r="J65" s="89" t="s">
        <v>157</v>
      </c>
      <c r="K65" s="89" t="s">
        <v>212</v>
      </c>
    </row>
    <row r="66" spans="1:11" x14ac:dyDescent="0.45">
      <c r="A66" s="89" t="s">
        <v>35</v>
      </c>
      <c r="B66" s="89" t="s">
        <v>11</v>
      </c>
      <c r="C66" s="89" t="s">
        <v>34</v>
      </c>
      <c r="D66" s="89" t="s">
        <v>13</v>
      </c>
      <c r="E66" s="89" t="s">
        <v>288</v>
      </c>
      <c r="F66" s="89">
        <v>60</v>
      </c>
      <c r="G66" s="89" t="s">
        <v>289</v>
      </c>
      <c r="H66" s="89" t="s">
        <v>17</v>
      </c>
      <c r="I66" s="89" t="s">
        <v>221</v>
      </c>
      <c r="J66" s="89"/>
      <c r="K66" s="89" t="s">
        <v>191</v>
      </c>
    </row>
    <row r="67" spans="1:11" x14ac:dyDescent="0.45">
      <c r="A67" s="89" t="s">
        <v>32</v>
      </c>
      <c r="B67" s="89" t="s">
        <v>11</v>
      </c>
      <c r="C67" s="89" t="s">
        <v>12</v>
      </c>
      <c r="D67" s="89" t="s">
        <v>20</v>
      </c>
      <c r="E67" s="89" t="s">
        <v>29</v>
      </c>
      <c r="F67" s="89">
        <v>7</v>
      </c>
      <c r="G67" s="89">
        <v>7.07</v>
      </c>
      <c r="H67" s="89" t="s">
        <v>30</v>
      </c>
      <c r="I67" s="89" t="s">
        <v>197</v>
      </c>
      <c r="J67" s="89" t="s">
        <v>157</v>
      </c>
      <c r="K67" s="89" t="s">
        <v>198</v>
      </c>
    </row>
    <row r="68" spans="1:11" x14ac:dyDescent="0.45">
      <c r="A68" s="89" t="s">
        <v>51</v>
      </c>
      <c r="B68" s="89" t="s">
        <v>46</v>
      </c>
      <c r="C68" s="89" t="s">
        <v>290</v>
      </c>
      <c r="D68" s="89" t="s">
        <v>13</v>
      </c>
      <c r="E68" s="89" t="s">
        <v>16</v>
      </c>
      <c r="F68" s="89">
        <v>61.6</v>
      </c>
      <c r="G68" s="89">
        <v>54.21</v>
      </c>
      <c r="H68" s="89" t="s">
        <v>17</v>
      </c>
      <c r="I68" s="89" t="s">
        <v>169</v>
      </c>
      <c r="J68" s="89" t="s">
        <v>157</v>
      </c>
      <c r="K68" s="91" t="s">
        <v>198</v>
      </c>
    </row>
    <row r="69" spans="1:11" x14ac:dyDescent="0.45">
      <c r="A69" s="89" t="s">
        <v>55</v>
      </c>
      <c r="B69" s="89" t="s">
        <v>46</v>
      </c>
      <c r="C69" s="89" t="s">
        <v>42</v>
      </c>
      <c r="D69" s="89" t="s">
        <v>20</v>
      </c>
      <c r="E69" s="89" t="s">
        <v>291</v>
      </c>
      <c r="F69" s="89" t="s">
        <v>292</v>
      </c>
      <c r="G69" s="89" t="s">
        <v>293</v>
      </c>
      <c r="H69" s="89" t="s">
        <v>26</v>
      </c>
      <c r="I69" s="89" t="s">
        <v>221</v>
      </c>
      <c r="J69" s="89" t="s">
        <v>160</v>
      </c>
      <c r="K69" s="91"/>
    </row>
    <row r="70" spans="1:11" x14ac:dyDescent="0.45">
      <c r="A70" s="89" t="s">
        <v>36</v>
      </c>
      <c r="B70" s="89" t="s">
        <v>11</v>
      </c>
      <c r="C70" s="89" t="s">
        <v>34</v>
      </c>
      <c r="D70" s="89" t="s">
        <v>13</v>
      </c>
      <c r="E70" s="89" t="s">
        <v>16</v>
      </c>
      <c r="F70" s="89">
        <v>60</v>
      </c>
      <c r="G70" s="89">
        <v>55.2</v>
      </c>
      <c r="H70" s="89" t="s">
        <v>17</v>
      </c>
      <c r="I70" s="89" t="s">
        <v>147</v>
      </c>
      <c r="J70" s="89" t="s">
        <v>181</v>
      </c>
      <c r="K70" s="89" t="s">
        <v>212</v>
      </c>
    </row>
    <row r="71" spans="1:11" x14ac:dyDescent="0.45">
      <c r="A71" s="89" t="s">
        <v>55</v>
      </c>
      <c r="B71" s="89" t="s">
        <v>46</v>
      </c>
      <c r="C71" s="89" t="s">
        <v>42</v>
      </c>
      <c r="D71" s="89" t="s">
        <v>13</v>
      </c>
      <c r="E71" s="89" t="s">
        <v>272</v>
      </c>
      <c r="F71" s="89">
        <v>54</v>
      </c>
      <c r="G71" s="89">
        <v>61.02</v>
      </c>
      <c r="H71" s="91" t="s">
        <v>19</v>
      </c>
      <c r="I71" s="89" t="s">
        <v>169</v>
      </c>
      <c r="J71" s="90" t="s">
        <v>164</v>
      </c>
      <c r="K71" s="90" t="s">
        <v>191</v>
      </c>
    </row>
    <row r="72" spans="1:11" x14ac:dyDescent="0.45">
      <c r="A72" s="89" t="s">
        <v>294</v>
      </c>
      <c r="B72" s="89" t="s">
        <v>11</v>
      </c>
      <c r="C72" s="89" t="s">
        <v>42</v>
      </c>
      <c r="D72" s="89" t="s">
        <v>282</v>
      </c>
      <c r="E72" s="89" t="s">
        <v>295</v>
      </c>
      <c r="F72" s="89" t="s">
        <v>296</v>
      </c>
      <c r="G72" s="89" t="s">
        <v>297</v>
      </c>
      <c r="H72" s="91" t="s">
        <v>26</v>
      </c>
      <c r="I72" s="89" t="s">
        <v>156</v>
      </c>
      <c r="J72" s="89" t="s">
        <v>164</v>
      </c>
      <c r="K72" s="89" t="s">
        <v>149</v>
      </c>
    </row>
    <row r="73" spans="1:11" x14ac:dyDescent="0.45">
      <c r="A73" s="89" t="s">
        <v>298</v>
      </c>
      <c r="B73" s="89" t="s">
        <v>235</v>
      </c>
      <c r="C73" s="89" t="s">
        <v>42</v>
      </c>
      <c r="D73" s="89" t="s">
        <v>13</v>
      </c>
      <c r="E73" s="89" t="s">
        <v>299</v>
      </c>
      <c r="F73" s="89" t="s">
        <v>300</v>
      </c>
      <c r="G73" s="89">
        <v>54</v>
      </c>
      <c r="H73" s="89" t="s">
        <v>301</v>
      </c>
      <c r="I73" s="90" t="s">
        <v>197</v>
      </c>
      <c r="J73" s="89" t="s">
        <v>160</v>
      </c>
      <c r="K73" s="89" t="s">
        <v>198</v>
      </c>
    </row>
    <row r="74" spans="1:11" x14ac:dyDescent="0.45">
      <c r="A74" s="89" t="s">
        <v>44</v>
      </c>
      <c r="B74" s="89" t="s">
        <v>11</v>
      </c>
      <c r="C74" s="89" t="s">
        <v>42</v>
      </c>
      <c r="D74" s="89" t="s">
        <v>20</v>
      </c>
      <c r="E74" s="89" t="s">
        <v>295</v>
      </c>
      <c r="F74" s="89">
        <v>14</v>
      </c>
      <c r="G74" s="89">
        <v>-450.5</v>
      </c>
      <c r="H74" s="89" t="s">
        <v>26</v>
      </c>
      <c r="I74" s="89"/>
      <c r="J74" s="89" t="s">
        <v>154</v>
      </c>
      <c r="K74" s="90"/>
    </row>
    <row r="75" spans="1:11" x14ac:dyDescent="0.45">
      <c r="A75" s="91" t="s">
        <v>45</v>
      </c>
      <c r="B75" s="89" t="s">
        <v>46</v>
      </c>
      <c r="C75" s="89" t="s">
        <v>12</v>
      </c>
      <c r="D75" s="89" t="s">
        <v>20</v>
      </c>
      <c r="E75" s="89" t="s">
        <v>302</v>
      </c>
      <c r="F75" s="89" t="s">
        <v>303</v>
      </c>
      <c r="G75" s="89" t="s">
        <v>304</v>
      </c>
      <c r="H75" s="89" t="s">
        <v>24</v>
      </c>
      <c r="I75" s="89" t="s">
        <v>156</v>
      </c>
      <c r="J75" s="89" t="s">
        <v>164</v>
      </c>
      <c r="K75" s="89" t="s">
        <v>212</v>
      </c>
    </row>
    <row r="76" spans="1:11" x14ac:dyDescent="0.45">
      <c r="A76" s="89" t="s">
        <v>41</v>
      </c>
      <c r="B76" s="89" t="s">
        <v>11</v>
      </c>
      <c r="C76" s="89" t="s">
        <v>42</v>
      </c>
      <c r="D76" s="89" t="s">
        <v>166</v>
      </c>
      <c r="E76" s="89" t="s">
        <v>261</v>
      </c>
      <c r="F76" s="89">
        <v>18</v>
      </c>
      <c r="G76" s="89">
        <v>18.72</v>
      </c>
      <c r="H76" s="89" t="s">
        <v>26</v>
      </c>
      <c r="I76" s="91" t="s">
        <v>147</v>
      </c>
      <c r="J76" s="89" t="s">
        <v>160</v>
      </c>
      <c r="K76" s="89"/>
    </row>
    <row r="77" spans="1:11" x14ac:dyDescent="0.45">
      <c r="A77" s="89" t="s">
        <v>43</v>
      </c>
      <c r="B77" s="90" t="s">
        <v>11</v>
      </c>
      <c r="C77" s="89" t="s">
        <v>42</v>
      </c>
      <c r="D77" s="89" t="s">
        <v>13</v>
      </c>
      <c r="E77" s="89" t="s">
        <v>18</v>
      </c>
      <c r="F77" s="89">
        <v>40</v>
      </c>
      <c r="G77" s="89" t="s">
        <v>305</v>
      </c>
      <c r="H77" s="89" t="s">
        <v>19</v>
      </c>
      <c r="I77" s="89" t="s">
        <v>159</v>
      </c>
      <c r="J77" s="89" t="s">
        <v>160</v>
      </c>
      <c r="K77" s="89" t="s">
        <v>198</v>
      </c>
    </row>
    <row r="78" spans="1:11" x14ac:dyDescent="0.45">
      <c r="A78" s="89" t="s">
        <v>44</v>
      </c>
      <c r="B78" s="89" t="s">
        <v>11</v>
      </c>
      <c r="C78" s="89" t="s">
        <v>42</v>
      </c>
      <c r="D78" s="89" t="s">
        <v>13</v>
      </c>
      <c r="E78" s="89" t="s">
        <v>14</v>
      </c>
      <c r="F78" s="89">
        <v>87.5</v>
      </c>
      <c r="G78" s="89">
        <v>91.88</v>
      </c>
      <c r="H78" s="89" t="s">
        <v>285</v>
      </c>
      <c r="I78" s="89" t="s">
        <v>197</v>
      </c>
      <c r="J78" s="89" t="s">
        <v>148</v>
      </c>
      <c r="K78" s="89" t="s">
        <v>174</v>
      </c>
    </row>
    <row r="79" spans="1:11" x14ac:dyDescent="0.45">
      <c r="A79" s="89" t="s">
        <v>306</v>
      </c>
      <c r="B79" s="89" t="s">
        <v>46</v>
      </c>
      <c r="C79" s="89" t="s">
        <v>38</v>
      </c>
      <c r="D79" s="89" t="s">
        <v>20</v>
      </c>
      <c r="E79" s="89" t="s">
        <v>182</v>
      </c>
      <c r="F79" s="89">
        <v>22.5</v>
      </c>
      <c r="G79" s="91">
        <v>24.75</v>
      </c>
      <c r="H79" s="90" t="s">
        <v>26</v>
      </c>
      <c r="I79" s="89" t="s">
        <v>147</v>
      </c>
      <c r="J79" s="91" t="s">
        <v>160</v>
      </c>
      <c r="K79" s="89" t="s">
        <v>212</v>
      </c>
    </row>
    <row r="80" spans="1:11" x14ac:dyDescent="0.45">
      <c r="A80" s="89" t="s">
        <v>307</v>
      </c>
      <c r="B80" s="89" t="s">
        <v>11</v>
      </c>
      <c r="C80" s="89" t="s">
        <v>12</v>
      </c>
      <c r="D80" s="89" t="s">
        <v>13</v>
      </c>
      <c r="E80" s="89" t="s">
        <v>14</v>
      </c>
      <c r="F80" s="89" t="s">
        <v>308</v>
      </c>
      <c r="G80" s="89" t="s">
        <v>309</v>
      </c>
      <c r="H80" s="89" t="s">
        <v>230</v>
      </c>
      <c r="I80" s="89" t="s">
        <v>169</v>
      </c>
      <c r="J80" s="89" t="s">
        <v>181</v>
      </c>
      <c r="K80" s="89" t="s">
        <v>155</v>
      </c>
    </row>
    <row r="81" spans="1:11" x14ac:dyDescent="0.45">
      <c r="A81" s="89" t="s">
        <v>54</v>
      </c>
      <c r="B81" s="89" t="s">
        <v>46</v>
      </c>
      <c r="C81" s="89" t="s">
        <v>38</v>
      </c>
      <c r="D81" s="89" t="s">
        <v>310</v>
      </c>
      <c r="E81" s="89" t="s">
        <v>16</v>
      </c>
      <c r="F81" s="89">
        <v>77</v>
      </c>
      <c r="G81" s="89" t="s">
        <v>311</v>
      </c>
      <c r="H81" s="89" t="s">
        <v>17</v>
      </c>
      <c r="I81" s="89" t="s">
        <v>159</v>
      </c>
      <c r="J81" s="89" t="s">
        <v>148</v>
      </c>
      <c r="K81" s="89" t="s">
        <v>198</v>
      </c>
    </row>
    <row r="82" spans="1:11" x14ac:dyDescent="0.45">
      <c r="A82" s="89" t="s">
        <v>312</v>
      </c>
      <c r="B82" s="89" t="s">
        <v>11</v>
      </c>
      <c r="C82" s="89" t="s">
        <v>42</v>
      </c>
      <c r="D82" s="89" t="s">
        <v>20</v>
      </c>
      <c r="E82" s="89" t="s">
        <v>215</v>
      </c>
      <c r="F82" s="89">
        <v>9</v>
      </c>
      <c r="G82" s="89">
        <v>9.09</v>
      </c>
      <c r="H82" s="89" t="s">
        <v>30</v>
      </c>
      <c r="I82" s="89" t="s">
        <v>197</v>
      </c>
      <c r="J82" s="89" t="s">
        <v>148</v>
      </c>
      <c r="K82" s="89" t="s">
        <v>191</v>
      </c>
    </row>
    <row r="83" spans="1:11" x14ac:dyDescent="0.45">
      <c r="A83" s="89" t="s">
        <v>52</v>
      </c>
      <c r="B83" s="89" t="s">
        <v>46</v>
      </c>
      <c r="C83" s="89" t="s">
        <v>38</v>
      </c>
      <c r="D83" s="89" t="s">
        <v>20</v>
      </c>
      <c r="E83" s="89" t="s">
        <v>243</v>
      </c>
      <c r="F83" s="89">
        <v>121</v>
      </c>
      <c r="G83" s="89">
        <v>129.47</v>
      </c>
      <c r="H83" s="89" t="s">
        <v>286</v>
      </c>
      <c r="I83" s="89" t="s">
        <v>221</v>
      </c>
      <c r="J83" s="89" t="s">
        <v>164</v>
      </c>
      <c r="K83" s="89" t="s">
        <v>212</v>
      </c>
    </row>
    <row r="84" spans="1:11" x14ac:dyDescent="0.45">
      <c r="A84" s="89" t="s">
        <v>35</v>
      </c>
      <c r="B84" s="89" t="s">
        <v>11</v>
      </c>
      <c r="C84" s="89" t="s">
        <v>34</v>
      </c>
      <c r="D84" s="89" t="s">
        <v>20</v>
      </c>
      <c r="E84" s="89" t="s">
        <v>23</v>
      </c>
      <c r="F84" s="89">
        <v>20</v>
      </c>
      <c r="G84" s="89">
        <v>19.600000000000001</v>
      </c>
      <c r="H84" s="89" t="s">
        <v>24</v>
      </c>
      <c r="I84" s="89" t="s">
        <v>156</v>
      </c>
      <c r="J84" s="89" t="s">
        <v>154</v>
      </c>
      <c r="K84" s="89" t="s">
        <v>198</v>
      </c>
    </row>
    <row r="85" spans="1:11" x14ac:dyDescent="0.45">
      <c r="A85" s="89" t="s">
        <v>39</v>
      </c>
      <c r="B85" s="89" t="s">
        <v>11</v>
      </c>
      <c r="C85" s="89" t="s">
        <v>38</v>
      </c>
      <c r="D85" s="89" t="s">
        <v>20</v>
      </c>
      <c r="E85" s="89" t="s">
        <v>29</v>
      </c>
      <c r="F85" s="89">
        <v>11</v>
      </c>
      <c r="G85" s="89">
        <v>11.22</v>
      </c>
      <c r="H85" s="89" t="s">
        <v>30</v>
      </c>
      <c r="I85" s="89" t="s">
        <v>197</v>
      </c>
      <c r="J85" s="89" t="s">
        <v>181</v>
      </c>
      <c r="K85" s="89"/>
    </row>
    <row r="86" spans="1:11" x14ac:dyDescent="0.45">
      <c r="A86" s="90" t="s">
        <v>313</v>
      </c>
      <c r="B86" s="89" t="s">
        <v>11</v>
      </c>
      <c r="C86" s="89" t="s">
        <v>34</v>
      </c>
      <c r="D86" s="89" t="s">
        <v>192</v>
      </c>
      <c r="E86" s="89" t="s">
        <v>314</v>
      </c>
      <c r="F86" s="89" t="s">
        <v>315</v>
      </c>
      <c r="G86" s="89">
        <v>20.2</v>
      </c>
      <c r="H86" s="89" t="s">
        <v>316</v>
      </c>
      <c r="I86" s="89"/>
      <c r="J86" s="89" t="s">
        <v>160</v>
      </c>
      <c r="K86" s="89" t="s">
        <v>198</v>
      </c>
    </row>
    <row r="87" spans="1:11" x14ac:dyDescent="0.45">
      <c r="A87" s="89" t="s">
        <v>31</v>
      </c>
      <c r="B87" s="89" t="s">
        <v>11</v>
      </c>
      <c r="C87" s="89" t="s">
        <v>12</v>
      </c>
      <c r="D87" s="89" t="s">
        <v>20</v>
      </c>
      <c r="E87" s="89" t="s">
        <v>25</v>
      </c>
      <c r="F87" s="89">
        <v>14</v>
      </c>
      <c r="G87" s="89">
        <v>14.28</v>
      </c>
      <c r="H87" s="89" t="s">
        <v>26</v>
      </c>
      <c r="I87" s="89" t="s">
        <v>169</v>
      </c>
      <c r="J87" s="89"/>
      <c r="K87" s="89" t="s">
        <v>155</v>
      </c>
    </row>
    <row r="88" spans="1:11" x14ac:dyDescent="0.45">
      <c r="A88" s="89" t="s">
        <v>49</v>
      </c>
      <c r="B88" s="89" t="s">
        <v>46</v>
      </c>
      <c r="C88" s="89" t="s">
        <v>34</v>
      </c>
      <c r="D88" s="89" t="s">
        <v>317</v>
      </c>
      <c r="E88" s="89" t="s">
        <v>318</v>
      </c>
      <c r="F88" s="89">
        <v>48</v>
      </c>
      <c r="G88" s="89">
        <v>53.28</v>
      </c>
      <c r="H88" s="89" t="s">
        <v>319</v>
      </c>
      <c r="I88" s="89" t="s">
        <v>197</v>
      </c>
      <c r="J88" s="89" t="s">
        <v>148</v>
      </c>
      <c r="K88" s="91" t="s">
        <v>174</v>
      </c>
    </row>
    <row r="89" spans="1:11" x14ac:dyDescent="0.45">
      <c r="A89" s="89" t="s">
        <v>320</v>
      </c>
      <c r="B89" s="89" t="s">
        <v>11</v>
      </c>
      <c r="C89" s="89" t="s">
        <v>42</v>
      </c>
      <c r="D89" s="89" t="s">
        <v>13</v>
      </c>
      <c r="E89" s="89" t="s">
        <v>18</v>
      </c>
      <c r="F89" s="89">
        <v>35</v>
      </c>
      <c r="G89" s="89" t="s">
        <v>321</v>
      </c>
      <c r="H89" s="89" t="s">
        <v>19</v>
      </c>
      <c r="I89" s="89" t="s">
        <v>197</v>
      </c>
      <c r="J89" s="89"/>
      <c r="K89" s="89"/>
    </row>
    <row r="90" spans="1:11" x14ac:dyDescent="0.45">
      <c r="A90" s="89" t="s">
        <v>51</v>
      </c>
      <c r="B90" s="89" t="s">
        <v>46</v>
      </c>
      <c r="C90" s="89" t="s">
        <v>249</v>
      </c>
      <c r="D90" s="89" t="s">
        <v>20</v>
      </c>
      <c r="E90" s="91" t="s">
        <v>23</v>
      </c>
      <c r="F90" s="89">
        <v>22</v>
      </c>
      <c r="G90" s="89" t="s">
        <v>322</v>
      </c>
      <c r="H90" s="89" t="s">
        <v>24</v>
      </c>
      <c r="I90" s="91" t="s">
        <v>156</v>
      </c>
      <c r="J90" s="89" t="s">
        <v>157</v>
      </c>
      <c r="K90" s="89"/>
    </row>
    <row r="91" spans="1:11" x14ac:dyDescent="0.45">
      <c r="A91" s="89" t="s">
        <v>323</v>
      </c>
      <c r="B91" s="89" t="s">
        <v>11</v>
      </c>
      <c r="C91" s="89" t="s">
        <v>34</v>
      </c>
      <c r="D91" s="89" t="s">
        <v>20</v>
      </c>
      <c r="E91" s="89" t="s">
        <v>23</v>
      </c>
      <c r="F91" s="89" t="s">
        <v>324</v>
      </c>
      <c r="G91" s="89">
        <v>20.399999999999999</v>
      </c>
      <c r="H91" s="90" t="s">
        <v>316</v>
      </c>
      <c r="I91" s="89" t="s">
        <v>156</v>
      </c>
      <c r="J91" s="89" t="s">
        <v>157</v>
      </c>
      <c r="K91" s="89" t="s">
        <v>155</v>
      </c>
    </row>
    <row r="92" spans="1:11" x14ac:dyDescent="0.45">
      <c r="A92" s="89" t="s">
        <v>325</v>
      </c>
      <c r="B92" s="89" t="s">
        <v>46</v>
      </c>
      <c r="C92" s="89" t="s">
        <v>38</v>
      </c>
      <c r="D92" s="89" t="s">
        <v>229</v>
      </c>
      <c r="E92" s="89" t="s">
        <v>14</v>
      </c>
      <c r="F92" s="89">
        <v>151.80000000000001</v>
      </c>
      <c r="G92" s="89">
        <v>160.91</v>
      </c>
      <c r="H92" s="89" t="s">
        <v>15</v>
      </c>
      <c r="I92" s="89" t="s">
        <v>159</v>
      </c>
      <c r="J92" s="89" t="s">
        <v>160</v>
      </c>
      <c r="K92" s="89" t="s">
        <v>174</v>
      </c>
    </row>
    <row r="93" spans="1:11" x14ac:dyDescent="0.45">
      <c r="A93" s="89" t="s">
        <v>326</v>
      </c>
      <c r="B93" s="91" t="s">
        <v>46</v>
      </c>
      <c r="C93" s="91" t="s">
        <v>38</v>
      </c>
      <c r="D93" s="89" t="s">
        <v>20</v>
      </c>
      <c r="E93" s="89" t="s">
        <v>256</v>
      </c>
      <c r="F93" s="89" t="s">
        <v>327</v>
      </c>
      <c r="G93" s="89">
        <v>11.11</v>
      </c>
      <c r="H93" s="90" t="s">
        <v>30</v>
      </c>
      <c r="I93" s="89" t="s">
        <v>156</v>
      </c>
      <c r="J93" s="89" t="s">
        <v>148</v>
      </c>
      <c r="K93" s="89" t="s">
        <v>191</v>
      </c>
    </row>
    <row r="94" spans="1:11" x14ac:dyDescent="0.45">
      <c r="A94" s="91" t="s">
        <v>328</v>
      </c>
      <c r="B94" s="89" t="s">
        <v>11</v>
      </c>
      <c r="C94" s="89" t="s">
        <v>34</v>
      </c>
      <c r="D94" s="89" t="s">
        <v>20</v>
      </c>
      <c r="E94" s="89" t="s">
        <v>329</v>
      </c>
      <c r="F94" s="89">
        <v>12</v>
      </c>
      <c r="G94" s="89">
        <v>12.36</v>
      </c>
      <c r="H94" s="89" t="s">
        <v>28</v>
      </c>
      <c r="I94" s="91" t="s">
        <v>159</v>
      </c>
      <c r="J94" s="89" t="s">
        <v>148</v>
      </c>
      <c r="K94" s="89" t="s">
        <v>191</v>
      </c>
    </row>
    <row r="95" spans="1:11" x14ac:dyDescent="0.45">
      <c r="A95" s="89" t="s">
        <v>39</v>
      </c>
      <c r="B95" s="89" t="s">
        <v>235</v>
      </c>
      <c r="C95" s="89" t="s">
        <v>38</v>
      </c>
      <c r="D95" s="89" t="s">
        <v>20</v>
      </c>
      <c r="E95" s="89" t="s">
        <v>23</v>
      </c>
      <c r="F95" s="89">
        <v>27.5</v>
      </c>
      <c r="G95" s="89">
        <v>28.05</v>
      </c>
      <c r="H95" s="89" t="s">
        <v>24</v>
      </c>
      <c r="I95" s="89" t="s">
        <v>197</v>
      </c>
      <c r="J95" s="89" t="s">
        <v>181</v>
      </c>
      <c r="K95" s="89" t="s">
        <v>174</v>
      </c>
    </row>
    <row r="96" spans="1:11" x14ac:dyDescent="0.45">
      <c r="A96" s="89" t="s">
        <v>330</v>
      </c>
      <c r="B96" s="89" t="s">
        <v>11</v>
      </c>
      <c r="C96" s="89" t="s">
        <v>12</v>
      </c>
      <c r="D96" s="89" t="s">
        <v>20</v>
      </c>
      <c r="E96" s="89" t="s">
        <v>29</v>
      </c>
      <c r="F96" s="89" t="s">
        <v>331</v>
      </c>
      <c r="G96" s="89" t="s">
        <v>332</v>
      </c>
      <c r="H96" s="89" t="s">
        <v>30</v>
      </c>
      <c r="I96" s="89" t="s">
        <v>156</v>
      </c>
      <c r="J96" s="89" t="s">
        <v>148</v>
      </c>
      <c r="K96" s="89"/>
    </row>
    <row r="97" spans="1:11" x14ac:dyDescent="0.45">
      <c r="A97" s="89" t="s">
        <v>33</v>
      </c>
      <c r="B97" s="89" t="s">
        <v>11</v>
      </c>
      <c r="C97" s="89" t="s">
        <v>34</v>
      </c>
      <c r="D97" s="89" t="s">
        <v>20</v>
      </c>
      <c r="E97" s="89"/>
      <c r="F97" s="89">
        <v>12.48</v>
      </c>
      <c r="G97" s="89">
        <v>12</v>
      </c>
      <c r="H97" s="89" t="s">
        <v>333</v>
      </c>
      <c r="I97" s="89" t="s">
        <v>159</v>
      </c>
      <c r="J97" s="89" t="s">
        <v>154</v>
      </c>
      <c r="K97" s="89" t="s">
        <v>174</v>
      </c>
    </row>
    <row r="98" spans="1:11" x14ac:dyDescent="0.45">
      <c r="A98" s="93" t="s">
        <v>2</v>
      </c>
      <c r="B98" s="93" t="s">
        <v>3</v>
      </c>
      <c r="C98" s="93" t="s">
        <v>334</v>
      </c>
      <c r="D98" s="93" t="s">
        <v>335</v>
      </c>
      <c r="E98" s="93" t="s">
        <v>336</v>
      </c>
      <c r="F98" s="93" t="s">
        <v>337</v>
      </c>
      <c r="G98" s="93" t="s">
        <v>338</v>
      </c>
      <c r="H98" s="93" t="s">
        <v>339</v>
      </c>
      <c r="I98" s="93" t="s">
        <v>340</v>
      </c>
      <c r="J98" s="93" t="s">
        <v>341</v>
      </c>
      <c r="K98" s="93" t="s">
        <v>342</v>
      </c>
    </row>
    <row r="99" spans="1:11" x14ac:dyDescent="0.45">
      <c r="A99" s="89" t="s">
        <v>57</v>
      </c>
      <c r="B99" s="89" t="s">
        <v>46</v>
      </c>
      <c r="C99" s="89" t="s">
        <v>42</v>
      </c>
      <c r="D99" s="89" t="s">
        <v>20</v>
      </c>
      <c r="E99" s="89" t="s">
        <v>23</v>
      </c>
      <c r="F99" s="89" t="s">
        <v>343</v>
      </c>
      <c r="G99" s="89">
        <v>19.829999999999998</v>
      </c>
      <c r="H99" s="89" t="s">
        <v>24</v>
      </c>
      <c r="I99" s="89"/>
      <c r="J99" s="89" t="s">
        <v>164</v>
      </c>
      <c r="K99" s="89" t="s">
        <v>191</v>
      </c>
    </row>
    <row r="100" spans="1:11" x14ac:dyDescent="0.45">
      <c r="A100" s="89" t="s">
        <v>55</v>
      </c>
      <c r="B100" s="89" t="s">
        <v>46</v>
      </c>
      <c r="C100" s="89" t="s">
        <v>42</v>
      </c>
      <c r="D100" s="89" t="s">
        <v>344</v>
      </c>
      <c r="E100" s="89" t="s">
        <v>29</v>
      </c>
      <c r="F100" s="89" t="s">
        <v>345</v>
      </c>
      <c r="G100" s="89">
        <v>10</v>
      </c>
      <c r="H100" s="89" t="s">
        <v>30</v>
      </c>
      <c r="I100" s="89" t="s">
        <v>197</v>
      </c>
      <c r="J100" s="89" t="s">
        <v>154</v>
      </c>
      <c r="K100" s="89"/>
    </row>
    <row r="101" spans="1:11" x14ac:dyDescent="0.45">
      <c r="A101" s="89" t="s">
        <v>51</v>
      </c>
      <c r="B101" s="89" t="s">
        <v>46</v>
      </c>
      <c r="C101" s="89" t="s">
        <v>34</v>
      </c>
      <c r="D101" s="90" t="s">
        <v>166</v>
      </c>
      <c r="E101" s="89" t="s">
        <v>346</v>
      </c>
      <c r="F101" s="89" t="s">
        <v>250</v>
      </c>
      <c r="G101" s="89" t="s">
        <v>347</v>
      </c>
      <c r="H101" s="89" t="s">
        <v>26</v>
      </c>
      <c r="I101" s="89" t="s">
        <v>147</v>
      </c>
      <c r="J101" s="89"/>
      <c r="K101" s="89" t="s">
        <v>174</v>
      </c>
    </row>
    <row r="102" spans="1:11" x14ac:dyDescent="0.45">
      <c r="A102" s="89" t="s">
        <v>348</v>
      </c>
      <c r="B102" s="89" t="s">
        <v>271</v>
      </c>
      <c r="C102" s="89" t="s">
        <v>34</v>
      </c>
      <c r="D102" s="89" t="s">
        <v>237</v>
      </c>
      <c r="E102" s="91" t="s">
        <v>291</v>
      </c>
      <c r="F102" s="89">
        <v>16</v>
      </c>
      <c r="G102" s="89">
        <v>16.48</v>
      </c>
      <c r="H102" s="89" t="s">
        <v>26</v>
      </c>
      <c r="I102" s="89"/>
      <c r="J102" s="89" t="s">
        <v>160</v>
      </c>
      <c r="K102" s="89" t="s">
        <v>174</v>
      </c>
    </row>
    <row r="103" spans="1:11" x14ac:dyDescent="0.45">
      <c r="A103" s="89" t="s">
        <v>349</v>
      </c>
      <c r="B103" s="89" t="s">
        <v>11</v>
      </c>
      <c r="C103" s="89" t="s">
        <v>34</v>
      </c>
      <c r="D103" s="89" t="s">
        <v>20</v>
      </c>
      <c r="E103" s="89" t="s">
        <v>225</v>
      </c>
      <c r="F103" s="89" t="s">
        <v>350</v>
      </c>
      <c r="G103" s="89" t="s">
        <v>351</v>
      </c>
      <c r="H103" s="89" t="s">
        <v>22</v>
      </c>
      <c r="I103" s="89"/>
      <c r="J103" s="89" t="s">
        <v>154</v>
      </c>
      <c r="K103" s="89" t="s">
        <v>212</v>
      </c>
    </row>
    <row r="104" spans="1:11" x14ac:dyDescent="0.45">
      <c r="A104" s="89" t="s">
        <v>10</v>
      </c>
      <c r="B104" s="89" t="s">
        <v>11</v>
      </c>
      <c r="C104" s="89" t="s">
        <v>12</v>
      </c>
      <c r="D104" s="89" t="s">
        <v>13</v>
      </c>
      <c r="E104" s="89" t="s">
        <v>14</v>
      </c>
      <c r="F104" s="89">
        <v>87.5</v>
      </c>
      <c r="G104" s="89">
        <v>89.25</v>
      </c>
      <c r="H104" s="89" t="s">
        <v>15</v>
      </c>
      <c r="I104" s="89"/>
      <c r="J104" s="89" t="s">
        <v>157</v>
      </c>
      <c r="K104" s="89" t="s">
        <v>191</v>
      </c>
    </row>
    <row r="105" spans="1:11" x14ac:dyDescent="0.45">
      <c r="A105" s="89" t="s">
        <v>352</v>
      </c>
      <c r="B105" s="89" t="s">
        <v>46</v>
      </c>
      <c r="C105" s="89" t="s">
        <v>38</v>
      </c>
      <c r="D105" s="89" t="s">
        <v>13</v>
      </c>
      <c r="E105" s="89" t="s">
        <v>14</v>
      </c>
      <c r="F105" s="89">
        <v>138</v>
      </c>
      <c r="G105" s="89">
        <v>144.9</v>
      </c>
      <c r="H105" s="89" t="s">
        <v>15</v>
      </c>
      <c r="I105" s="89"/>
      <c r="J105" s="89" t="s">
        <v>181</v>
      </c>
      <c r="K105" s="89" t="s">
        <v>191</v>
      </c>
    </row>
    <row r="106" spans="1:11" x14ac:dyDescent="0.45">
      <c r="A106" s="89" t="s">
        <v>353</v>
      </c>
      <c r="B106" s="89"/>
      <c r="C106" s="89" t="s">
        <v>290</v>
      </c>
      <c r="D106" s="89" t="s">
        <v>187</v>
      </c>
      <c r="E106" s="89" t="s">
        <v>182</v>
      </c>
      <c r="F106" s="89" t="s">
        <v>354</v>
      </c>
      <c r="G106" s="89">
        <v>16.64</v>
      </c>
      <c r="H106" s="89" t="s">
        <v>355</v>
      </c>
      <c r="I106" s="89"/>
      <c r="J106" s="89" t="s">
        <v>157</v>
      </c>
      <c r="K106" s="89" t="s">
        <v>212</v>
      </c>
    </row>
    <row r="107" spans="1:11" x14ac:dyDescent="0.45">
      <c r="A107" s="93" t="s">
        <v>2</v>
      </c>
      <c r="B107" s="93" t="s">
        <v>3</v>
      </c>
      <c r="C107" s="93" t="s">
        <v>334</v>
      </c>
      <c r="D107" s="93" t="s">
        <v>335</v>
      </c>
      <c r="E107" s="93" t="s">
        <v>336</v>
      </c>
      <c r="F107" s="93" t="s">
        <v>337</v>
      </c>
      <c r="G107" s="93" t="s">
        <v>338</v>
      </c>
      <c r="H107" s="93" t="s">
        <v>339</v>
      </c>
      <c r="I107" s="93" t="s">
        <v>340</v>
      </c>
      <c r="J107" s="93" t="s">
        <v>341</v>
      </c>
      <c r="K107" s="93" t="s">
        <v>342</v>
      </c>
    </row>
    <row r="108" spans="1:11" x14ac:dyDescent="0.45">
      <c r="A108" s="89" t="s">
        <v>53</v>
      </c>
      <c r="B108" s="89" t="s">
        <v>185</v>
      </c>
      <c r="C108" s="89" t="s">
        <v>186</v>
      </c>
      <c r="D108" s="89" t="s">
        <v>187</v>
      </c>
      <c r="E108" s="89" t="s">
        <v>188</v>
      </c>
      <c r="F108" s="89">
        <v>18.149999999999999</v>
      </c>
      <c r="G108" s="89">
        <v>19.239999999999998</v>
      </c>
      <c r="H108" s="89" t="s">
        <v>333</v>
      </c>
      <c r="I108" s="89" t="s">
        <v>197</v>
      </c>
      <c r="J108" s="89"/>
      <c r="K108" s="91"/>
    </row>
    <row r="109" spans="1:11" x14ac:dyDescent="0.45">
      <c r="A109" s="89" t="s">
        <v>36</v>
      </c>
      <c r="B109" s="89" t="s">
        <v>11</v>
      </c>
      <c r="C109" s="89" t="s">
        <v>34</v>
      </c>
      <c r="D109" s="89" t="s">
        <v>13</v>
      </c>
      <c r="E109" s="89" t="s">
        <v>14</v>
      </c>
      <c r="F109" s="89">
        <v>100</v>
      </c>
      <c r="G109" s="89">
        <v>103</v>
      </c>
      <c r="H109" s="90" t="s">
        <v>15</v>
      </c>
      <c r="I109" s="89" t="s">
        <v>197</v>
      </c>
      <c r="J109" s="89"/>
      <c r="K109" s="89"/>
    </row>
    <row r="110" spans="1:11" x14ac:dyDescent="0.45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</row>
    <row r="111" spans="1:11" x14ac:dyDescent="0.45">
      <c r="A111" s="89" t="s">
        <v>39</v>
      </c>
      <c r="B111" s="89" t="s">
        <v>235</v>
      </c>
      <c r="C111" s="89" t="s">
        <v>38</v>
      </c>
      <c r="D111" s="89" t="s">
        <v>20</v>
      </c>
      <c r="E111" s="89" t="s">
        <v>356</v>
      </c>
      <c r="F111" s="89">
        <v>123.75</v>
      </c>
      <c r="G111" s="89">
        <v>131.18</v>
      </c>
      <c r="H111" s="89" t="s">
        <v>22</v>
      </c>
      <c r="I111" s="89" t="s">
        <v>156</v>
      </c>
      <c r="J111" s="89"/>
      <c r="K111" s="89"/>
    </row>
    <row r="112" spans="1:11" x14ac:dyDescent="0.45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</row>
    <row r="113" spans="1:11" x14ac:dyDescent="0.45">
      <c r="A113" s="89" t="s">
        <v>53</v>
      </c>
      <c r="B113" s="89" t="s">
        <v>46</v>
      </c>
      <c r="C113" s="89" t="s">
        <v>38</v>
      </c>
      <c r="D113" s="89" t="s">
        <v>199</v>
      </c>
      <c r="E113" s="89" t="s">
        <v>295</v>
      </c>
      <c r="F113" s="89">
        <v>24.75</v>
      </c>
      <c r="G113" s="89">
        <v>27.72</v>
      </c>
      <c r="H113" s="89" t="s">
        <v>26</v>
      </c>
      <c r="I113" s="89" t="s">
        <v>221</v>
      </c>
      <c r="J113" s="89" t="s">
        <v>160</v>
      </c>
      <c r="K113" s="89" t="s">
        <v>155</v>
      </c>
    </row>
    <row r="114" spans="1:11" x14ac:dyDescent="0.45">
      <c r="A114" s="89" t="s">
        <v>328</v>
      </c>
      <c r="B114" s="89" t="s">
        <v>11</v>
      </c>
      <c r="C114" s="89" t="s">
        <v>34</v>
      </c>
      <c r="D114" s="89" t="s">
        <v>20</v>
      </c>
      <c r="E114" s="89" t="s">
        <v>329</v>
      </c>
      <c r="F114" s="89">
        <v>12</v>
      </c>
      <c r="G114" s="91">
        <v>12.36</v>
      </c>
      <c r="H114" s="89" t="s">
        <v>28</v>
      </c>
      <c r="I114" s="89" t="s">
        <v>197</v>
      </c>
      <c r="J114" s="89"/>
      <c r="K114" s="89" t="s">
        <v>198</v>
      </c>
    </row>
    <row r="115" spans="1:11" x14ac:dyDescent="0.45">
      <c r="A115" s="89" t="s">
        <v>266</v>
      </c>
      <c r="B115" s="89" t="s">
        <v>46</v>
      </c>
      <c r="C115" s="89" t="s">
        <v>34</v>
      </c>
      <c r="D115" s="89" t="s">
        <v>13</v>
      </c>
      <c r="E115" s="89" t="s">
        <v>357</v>
      </c>
      <c r="F115" s="89"/>
      <c r="G115" s="89" t="s">
        <v>358</v>
      </c>
      <c r="H115" s="89" t="s">
        <v>359</v>
      </c>
      <c r="I115" s="89"/>
      <c r="J115" s="89" t="s">
        <v>164</v>
      </c>
      <c r="K115" s="89" t="s">
        <v>191</v>
      </c>
    </row>
    <row r="116" spans="1:11" x14ac:dyDescent="0.45">
      <c r="A116" s="89" t="s">
        <v>213</v>
      </c>
      <c r="B116" s="89" t="s">
        <v>46</v>
      </c>
      <c r="C116" s="89" t="s">
        <v>12</v>
      </c>
      <c r="D116" s="89" t="s">
        <v>13</v>
      </c>
      <c r="E116" s="89" t="s">
        <v>264</v>
      </c>
      <c r="F116" s="89">
        <v>96.6</v>
      </c>
      <c r="G116" s="89">
        <v>98.53</v>
      </c>
      <c r="H116" s="89" t="s">
        <v>15</v>
      </c>
      <c r="I116" s="90" t="s">
        <v>221</v>
      </c>
      <c r="J116" s="91"/>
      <c r="K116" s="89" t="s">
        <v>174</v>
      </c>
    </row>
    <row r="117" spans="1:11" x14ac:dyDescent="0.45">
      <c r="A117" s="89" t="s">
        <v>360</v>
      </c>
      <c r="B117" s="89" t="s">
        <v>271</v>
      </c>
      <c r="C117" s="89" t="s">
        <v>12</v>
      </c>
      <c r="D117" s="89" t="s">
        <v>20</v>
      </c>
      <c r="E117" s="89" t="s">
        <v>261</v>
      </c>
      <c r="F117" s="89">
        <v>14</v>
      </c>
      <c r="G117" s="89">
        <v>14.42</v>
      </c>
      <c r="H117" s="89" t="s">
        <v>26</v>
      </c>
      <c r="I117" s="89" t="s">
        <v>156</v>
      </c>
      <c r="J117" s="89" t="s">
        <v>148</v>
      </c>
      <c r="K117" s="89"/>
    </row>
    <row r="118" spans="1:11" x14ac:dyDescent="0.45">
      <c r="A118" s="89" t="s">
        <v>32</v>
      </c>
      <c r="B118" s="89" t="s">
        <v>361</v>
      </c>
      <c r="C118" s="89" t="s">
        <v>12</v>
      </c>
      <c r="D118" s="89" t="s">
        <v>229</v>
      </c>
      <c r="E118" s="89" t="s">
        <v>14</v>
      </c>
      <c r="F118" s="89" t="s">
        <v>362</v>
      </c>
      <c r="G118" s="89">
        <v>90.12</v>
      </c>
      <c r="H118" s="89" t="s">
        <v>15</v>
      </c>
      <c r="I118" s="89" t="s">
        <v>197</v>
      </c>
      <c r="J118" s="89" t="s">
        <v>164</v>
      </c>
      <c r="K118" s="89" t="s">
        <v>212</v>
      </c>
    </row>
    <row r="119" spans="1:11" x14ac:dyDescent="0.45">
      <c r="A119" s="89" t="s">
        <v>325</v>
      </c>
      <c r="B119" s="90" t="s">
        <v>224</v>
      </c>
      <c r="C119" s="89" t="s">
        <v>363</v>
      </c>
      <c r="D119" s="91"/>
      <c r="E119" s="89" t="s">
        <v>18</v>
      </c>
      <c r="F119" s="89">
        <v>66</v>
      </c>
      <c r="G119" s="91">
        <v>73.92</v>
      </c>
      <c r="H119" s="89" t="s">
        <v>364</v>
      </c>
      <c r="I119" s="89" t="s">
        <v>169</v>
      </c>
      <c r="J119" s="89"/>
      <c r="K119" s="89"/>
    </row>
    <row r="120" spans="1:11" x14ac:dyDescent="0.45">
      <c r="A120" s="89" t="s">
        <v>56</v>
      </c>
      <c r="B120" s="89" t="s">
        <v>46</v>
      </c>
      <c r="C120" s="89" t="s">
        <v>42</v>
      </c>
      <c r="D120" s="89" t="s">
        <v>20</v>
      </c>
      <c r="E120" s="89" t="s">
        <v>23</v>
      </c>
      <c r="F120" s="89">
        <v>22</v>
      </c>
      <c r="G120" s="89" t="s">
        <v>365</v>
      </c>
      <c r="H120" s="89" t="s">
        <v>24</v>
      </c>
      <c r="I120" s="89"/>
      <c r="J120" s="89"/>
      <c r="K120" s="89" t="s">
        <v>174</v>
      </c>
    </row>
    <row r="121" spans="1:11" x14ac:dyDescent="0.45">
      <c r="A121" s="91" t="s">
        <v>40</v>
      </c>
      <c r="B121" s="89" t="s">
        <v>11</v>
      </c>
      <c r="C121" s="89" t="s">
        <v>38</v>
      </c>
      <c r="D121" s="89" t="s">
        <v>13</v>
      </c>
      <c r="E121" s="89" t="s">
        <v>275</v>
      </c>
      <c r="F121" s="90" t="s">
        <v>361</v>
      </c>
      <c r="G121" s="89" t="s">
        <v>366</v>
      </c>
      <c r="H121" s="89" t="s">
        <v>17</v>
      </c>
      <c r="I121" s="89" t="s">
        <v>221</v>
      </c>
      <c r="J121" s="89"/>
      <c r="K121" s="89" t="s">
        <v>155</v>
      </c>
    </row>
    <row r="122" spans="1:11" x14ac:dyDescent="0.45">
      <c r="A122" s="89" t="s">
        <v>35</v>
      </c>
      <c r="B122" s="91" t="s">
        <v>11</v>
      </c>
      <c r="C122" s="89" t="s">
        <v>34</v>
      </c>
      <c r="D122" s="90" t="s">
        <v>13</v>
      </c>
      <c r="E122" s="89" t="s">
        <v>288</v>
      </c>
      <c r="F122" s="89">
        <v>60</v>
      </c>
      <c r="G122" s="89" t="s">
        <v>289</v>
      </c>
      <c r="H122" s="89" t="s">
        <v>367</v>
      </c>
      <c r="I122" s="89" t="s">
        <v>156</v>
      </c>
      <c r="J122" s="89"/>
      <c r="K122" s="89" t="s">
        <v>198</v>
      </c>
    </row>
    <row r="123" spans="1:11" x14ac:dyDescent="0.45">
      <c r="A123" s="89" t="s">
        <v>56</v>
      </c>
      <c r="B123" s="89" t="s">
        <v>46</v>
      </c>
      <c r="C123" s="89" t="s">
        <v>42</v>
      </c>
      <c r="D123" s="89" t="s">
        <v>20</v>
      </c>
      <c r="E123" s="89" t="s">
        <v>21</v>
      </c>
      <c r="F123" s="89">
        <v>96.8</v>
      </c>
      <c r="G123" s="89">
        <v>104.54</v>
      </c>
      <c r="H123" s="89" t="s">
        <v>22</v>
      </c>
      <c r="I123" s="89" t="s">
        <v>159</v>
      </c>
      <c r="J123" s="89" t="s">
        <v>148</v>
      </c>
      <c r="K123" s="89" t="s">
        <v>198</v>
      </c>
    </row>
    <row r="124" spans="1:11" x14ac:dyDescent="0.45">
      <c r="A124" s="93" t="s">
        <v>2</v>
      </c>
      <c r="B124" s="93" t="s">
        <v>3</v>
      </c>
      <c r="C124" s="93" t="s">
        <v>334</v>
      </c>
      <c r="D124" s="93" t="s">
        <v>335</v>
      </c>
      <c r="E124" s="93" t="s">
        <v>336</v>
      </c>
      <c r="F124" s="93" t="s">
        <v>337</v>
      </c>
      <c r="G124" s="93" t="s">
        <v>338</v>
      </c>
      <c r="H124" s="93" t="s">
        <v>339</v>
      </c>
      <c r="I124" s="93" t="s">
        <v>340</v>
      </c>
      <c r="J124" s="93" t="s">
        <v>341</v>
      </c>
      <c r="K124" s="93" t="s">
        <v>342</v>
      </c>
    </row>
    <row r="125" spans="1:11" x14ac:dyDescent="0.45">
      <c r="A125" s="89" t="s">
        <v>312</v>
      </c>
      <c r="B125" s="89" t="s">
        <v>11</v>
      </c>
      <c r="C125" s="89" t="s">
        <v>42</v>
      </c>
      <c r="D125" s="89" t="s">
        <v>13</v>
      </c>
      <c r="E125" s="89" t="s">
        <v>18</v>
      </c>
      <c r="F125" s="89" t="s">
        <v>368</v>
      </c>
      <c r="G125" s="89" t="s">
        <v>369</v>
      </c>
      <c r="H125" s="89" t="s">
        <v>370</v>
      </c>
      <c r="I125" s="89"/>
      <c r="J125" s="89" t="s">
        <v>154</v>
      </c>
      <c r="K125" s="89" t="s">
        <v>155</v>
      </c>
    </row>
    <row r="126" spans="1:11" x14ac:dyDescent="0.45">
      <c r="A126" s="89" t="s">
        <v>371</v>
      </c>
      <c r="B126" s="89" t="s">
        <v>46</v>
      </c>
      <c r="C126" s="89" t="s">
        <v>372</v>
      </c>
      <c r="D126" s="89" t="s">
        <v>20</v>
      </c>
      <c r="E126" s="89" t="s">
        <v>27</v>
      </c>
      <c r="F126" s="89" t="s">
        <v>373</v>
      </c>
      <c r="G126" s="89" t="s">
        <v>374</v>
      </c>
      <c r="H126" s="89" t="s">
        <v>28</v>
      </c>
      <c r="I126" s="89" t="s">
        <v>156</v>
      </c>
      <c r="J126" s="89" t="s">
        <v>181</v>
      </c>
      <c r="K126" s="89"/>
    </row>
    <row r="127" spans="1:11" x14ac:dyDescent="0.45">
      <c r="A127" s="91" t="s">
        <v>39</v>
      </c>
      <c r="B127" s="89" t="s">
        <v>165</v>
      </c>
      <c r="C127" s="89" t="s">
        <v>38</v>
      </c>
      <c r="D127" s="89" t="s">
        <v>20</v>
      </c>
      <c r="E127" s="89" t="s">
        <v>295</v>
      </c>
      <c r="F127" s="89" t="s">
        <v>375</v>
      </c>
      <c r="G127" s="89">
        <v>22.66</v>
      </c>
      <c r="H127" s="89" t="s">
        <v>26</v>
      </c>
      <c r="I127" s="89" t="s">
        <v>221</v>
      </c>
      <c r="J127" s="89" t="s">
        <v>160</v>
      </c>
      <c r="K127" s="89" t="s">
        <v>155</v>
      </c>
    </row>
    <row r="128" spans="1:11" x14ac:dyDescent="0.45">
      <c r="A128" s="89" t="s">
        <v>376</v>
      </c>
      <c r="B128" s="89" t="s">
        <v>11</v>
      </c>
      <c r="C128" s="91" t="s">
        <v>12</v>
      </c>
      <c r="D128" s="89" t="s">
        <v>13</v>
      </c>
      <c r="E128" s="89" t="s">
        <v>377</v>
      </c>
      <c r="F128" s="89">
        <v>500</v>
      </c>
      <c r="G128" s="89">
        <v>520</v>
      </c>
      <c r="H128" s="89" t="s">
        <v>378</v>
      </c>
      <c r="I128" s="89"/>
      <c r="J128" s="89"/>
      <c r="K128" s="89" t="s">
        <v>379</v>
      </c>
    </row>
    <row r="129" spans="1:11" x14ac:dyDescent="0.45">
      <c r="A129" s="90" t="s">
        <v>35</v>
      </c>
      <c r="B129" s="89" t="s">
        <v>11</v>
      </c>
      <c r="C129" s="89" t="s">
        <v>34</v>
      </c>
      <c r="D129" s="89" t="s">
        <v>20</v>
      </c>
      <c r="E129" s="89" t="s">
        <v>380</v>
      </c>
      <c r="F129" s="89">
        <v>12</v>
      </c>
      <c r="G129" s="89" t="s">
        <v>381</v>
      </c>
      <c r="H129" s="89" t="s">
        <v>28</v>
      </c>
      <c r="I129" s="89" t="s">
        <v>156</v>
      </c>
      <c r="J129" s="89"/>
      <c r="K129" s="89" t="s">
        <v>212</v>
      </c>
    </row>
    <row r="130" spans="1:11" x14ac:dyDescent="0.45">
      <c r="A130" s="89" t="s">
        <v>33</v>
      </c>
      <c r="B130" s="89" t="s">
        <v>11</v>
      </c>
      <c r="C130" s="90" t="s">
        <v>34</v>
      </c>
      <c r="D130" s="89" t="s">
        <v>20</v>
      </c>
      <c r="E130" s="89" t="s">
        <v>21</v>
      </c>
      <c r="F130" s="89">
        <v>90</v>
      </c>
      <c r="G130" s="89">
        <v>93.6</v>
      </c>
      <c r="H130" s="89" t="s">
        <v>22</v>
      </c>
      <c r="I130" s="89" t="s">
        <v>147</v>
      </c>
      <c r="J130" s="90" t="s">
        <v>154</v>
      </c>
      <c r="K130" s="89" t="s">
        <v>155</v>
      </c>
    </row>
    <row r="131" spans="1:11" x14ac:dyDescent="0.45">
      <c r="A131" s="89" t="s">
        <v>270</v>
      </c>
      <c r="B131" s="89" t="s">
        <v>11</v>
      </c>
      <c r="C131" s="89" t="s">
        <v>382</v>
      </c>
      <c r="D131" s="89" t="s">
        <v>199</v>
      </c>
      <c r="E131" s="89" t="s">
        <v>27</v>
      </c>
      <c r="F131" s="89">
        <v>1E-4</v>
      </c>
      <c r="G131" s="89">
        <v>15.6</v>
      </c>
      <c r="H131" s="89" t="s">
        <v>28</v>
      </c>
      <c r="I131" s="89"/>
      <c r="J131" s="89" t="s">
        <v>181</v>
      </c>
      <c r="K131" s="89" t="s">
        <v>191</v>
      </c>
    </row>
    <row r="132" spans="1:11" x14ac:dyDescent="0.45">
      <c r="A132" s="89" t="s">
        <v>266</v>
      </c>
      <c r="B132" s="89" t="s">
        <v>361</v>
      </c>
      <c r="C132" s="89" t="s">
        <v>34</v>
      </c>
      <c r="D132" s="89" t="s">
        <v>20</v>
      </c>
      <c r="E132" s="89" t="s">
        <v>29</v>
      </c>
      <c r="F132" s="89" t="s">
        <v>232</v>
      </c>
      <c r="G132" s="89">
        <v>8.8000000000000007</v>
      </c>
      <c r="H132" s="89" t="s">
        <v>30</v>
      </c>
      <c r="I132" s="89" t="s">
        <v>169</v>
      </c>
      <c r="J132" s="89"/>
      <c r="K132" s="89" t="s">
        <v>149</v>
      </c>
    </row>
    <row r="133" spans="1:11" x14ac:dyDescent="0.45">
      <c r="A133" s="89" t="s">
        <v>325</v>
      </c>
      <c r="B133" s="89" t="s">
        <v>46</v>
      </c>
      <c r="C133" s="89" t="s">
        <v>363</v>
      </c>
      <c r="D133" s="89" t="s">
        <v>282</v>
      </c>
      <c r="E133" s="89" t="s">
        <v>23</v>
      </c>
      <c r="F133" s="89" t="s">
        <v>383</v>
      </c>
      <c r="G133" s="90">
        <v>30.86</v>
      </c>
      <c r="H133" s="89" t="s">
        <v>24</v>
      </c>
      <c r="I133" s="89" t="s">
        <v>169</v>
      </c>
      <c r="J133" s="89" t="s">
        <v>148</v>
      </c>
      <c r="K133" s="91"/>
    </row>
    <row r="134" spans="1:11" x14ac:dyDescent="0.45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</row>
    <row r="135" spans="1:11" x14ac:dyDescent="0.45">
      <c r="A135" s="89" t="s">
        <v>49</v>
      </c>
      <c r="B135" s="89" t="s">
        <v>46</v>
      </c>
      <c r="C135" s="89" t="s">
        <v>34</v>
      </c>
      <c r="D135" s="89" t="s">
        <v>13</v>
      </c>
      <c r="E135" s="89" t="s">
        <v>16</v>
      </c>
      <c r="F135" s="89">
        <v>61.6</v>
      </c>
      <c r="G135" s="89">
        <v>54.82</v>
      </c>
      <c r="H135" s="89" t="s">
        <v>17</v>
      </c>
      <c r="I135" s="89" t="s">
        <v>169</v>
      </c>
      <c r="J135" s="89" t="s">
        <v>164</v>
      </c>
      <c r="K135" s="89" t="s">
        <v>212</v>
      </c>
    </row>
    <row r="136" spans="1:11" x14ac:dyDescent="0.45">
      <c r="A136" s="89" t="s">
        <v>32</v>
      </c>
      <c r="B136" s="89" t="s">
        <v>11</v>
      </c>
      <c r="C136" s="89" t="s">
        <v>12</v>
      </c>
      <c r="D136" s="89" t="s">
        <v>20</v>
      </c>
      <c r="E136" s="89" t="s">
        <v>189</v>
      </c>
      <c r="F136" s="89">
        <v>10.5</v>
      </c>
      <c r="G136" s="89" t="s">
        <v>190</v>
      </c>
      <c r="H136" s="89" t="s">
        <v>384</v>
      </c>
      <c r="I136" s="89" t="s">
        <v>156</v>
      </c>
      <c r="J136" s="90" t="s">
        <v>181</v>
      </c>
      <c r="K136" s="89" t="s">
        <v>155</v>
      </c>
    </row>
    <row r="137" spans="1:11" x14ac:dyDescent="0.45">
      <c r="A137" s="89" t="s">
        <v>55</v>
      </c>
      <c r="B137" s="89" t="s">
        <v>46</v>
      </c>
      <c r="C137" s="89" t="s">
        <v>42</v>
      </c>
      <c r="D137" s="89" t="s">
        <v>20</v>
      </c>
      <c r="E137" s="89" t="s">
        <v>291</v>
      </c>
      <c r="F137" s="89" t="s">
        <v>292</v>
      </c>
      <c r="G137" s="89" t="s">
        <v>293</v>
      </c>
      <c r="H137" s="89" t="s">
        <v>26</v>
      </c>
      <c r="I137" s="89"/>
      <c r="J137" s="90" t="s">
        <v>157</v>
      </c>
      <c r="K137" s="89" t="s">
        <v>191</v>
      </c>
    </row>
    <row r="138" spans="1:11" x14ac:dyDescent="0.45">
      <c r="A138" s="89" t="s">
        <v>52</v>
      </c>
      <c r="B138" s="89" t="s">
        <v>46</v>
      </c>
      <c r="C138" s="89" t="s">
        <v>38</v>
      </c>
      <c r="D138" s="89" t="s">
        <v>192</v>
      </c>
      <c r="E138" s="89" t="s">
        <v>215</v>
      </c>
      <c r="F138" s="89">
        <v>11</v>
      </c>
      <c r="G138" s="89">
        <v>11.11</v>
      </c>
      <c r="H138" s="89" t="s">
        <v>30</v>
      </c>
      <c r="I138" s="89"/>
      <c r="J138" s="89"/>
      <c r="K138" s="91" t="s">
        <v>174</v>
      </c>
    </row>
    <row r="139" spans="1:11" x14ac:dyDescent="0.45">
      <c r="A139" s="89" t="s">
        <v>43</v>
      </c>
      <c r="B139" s="89" t="s">
        <v>11</v>
      </c>
      <c r="C139" s="89" t="s">
        <v>42</v>
      </c>
      <c r="D139" s="89" t="s">
        <v>20</v>
      </c>
      <c r="E139" s="89" t="s">
        <v>385</v>
      </c>
      <c r="F139" s="89" t="s">
        <v>386</v>
      </c>
      <c r="G139" s="89">
        <v>8</v>
      </c>
      <c r="H139" s="89" t="s">
        <v>30</v>
      </c>
      <c r="I139" s="89"/>
      <c r="J139" s="89" t="s">
        <v>164</v>
      </c>
      <c r="K139" s="91"/>
    </row>
    <row r="140" spans="1:11" x14ac:dyDescent="0.45">
      <c r="A140" s="89" t="s">
        <v>387</v>
      </c>
      <c r="B140" s="89" t="s">
        <v>11</v>
      </c>
      <c r="C140" s="89" t="s">
        <v>12</v>
      </c>
      <c r="D140" s="89" t="s">
        <v>13</v>
      </c>
      <c r="E140" s="89" t="s">
        <v>16</v>
      </c>
      <c r="F140" s="89" t="s">
        <v>388</v>
      </c>
      <c r="G140" s="89" t="s">
        <v>389</v>
      </c>
      <c r="H140" s="89" t="s">
        <v>17</v>
      </c>
      <c r="I140" s="89"/>
      <c r="J140" s="89" t="s">
        <v>148</v>
      </c>
      <c r="K140" s="89" t="s">
        <v>198</v>
      </c>
    </row>
    <row r="141" spans="1:11" x14ac:dyDescent="0.45">
      <c r="A141" s="89" t="s">
        <v>390</v>
      </c>
      <c r="B141" s="89" t="s">
        <v>11</v>
      </c>
      <c r="C141" s="89" t="s">
        <v>209</v>
      </c>
      <c r="D141" s="89" t="s">
        <v>20</v>
      </c>
      <c r="E141" s="89" t="s">
        <v>391</v>
      </c>
      <c r="F141" s="89" t="s">
        <v>392</v>
      </c>
      <c r="G141" s="91" t="s">
        <v>393</v>
      </c>
      <c r="H141" s="89" t="s">
        <v>28</v>
      </c>
      <c r="I141" s="89" t="s">
        <v>156</v>
      </c>
      <c r="J141" s="89" t="s">
        <v>157</v>
      </c>
      <c r="K141" s="89" t="s">
        <v>198</v>
      </c>
    </row>
    <row r="142" spans="1:11" x14ac:dyDescent="0.45">
      <c r="A142" s="89" t="s">
        <v>394</v>
      </c>
      <c r="B142" s="89" t="s">
        <v>46</v>
      </c>
      <c r="C142" s="89" t="s">
        <v>38</v>
      </c>
      <c r="D142" s="89" t="s">
        <v>20</v>
      </c>
      <c r="E142" s="89" t="s">
        <v>27</v>
      </c>
      <c r="F142" s="89" t="s">
        <v>395</v>
      </c>
      <c r="G142" s="89">
        <v>17.16</v>
      </c>
      <c r="H142" s="89" t="s">
        <v>28</v>
      </c>
      <c r="I142" s="89" t="s">
        <v>156</v>
      </c>
      <c r="J142" s="89" t="s">
        <v>157</v>
      </c>
      <c r="K142" s="89" t="s">
        <v>155</v>
      </c>
    </row>
    <row r="143" spans="1:11" x14ac:dyDescent="0.45">
      <c r="A143" s="89" t="s">
        <v>56</v>
      </c>
      <c r="B143" s="89" t="s">
        <v>46</v>
      </c>
      <c r="C143" s="89" t="s">
        <v>42</v>
      </c>
      <c r="D143" s="89" t="s">
        <v>13</v>
      </c>
      <c r="E143" s="89" t="s">
        <v>18</v>
      </c>
      <c r="F143" s="89">
        <v>48</v>
      </c>
      <c r="G143" s="90" t="s">
        <v>396</v>
      </c>
      <c r="H143" s="89" t="s">
        <v>19</v>
      </c>
      <c r="I143" s="89" t="s">
        <v>147</v>
      </c>
      <c r="J143" s="89"/>
      <c r="K143" s="89"/>
    </row>
    <row r="144" spans="1:11" x14ac:dyDescent="0.45">
      <c r="A144" s="89" t="s">
        <v>397</v>
      </c>
      <c r="B144" s="89"/>
      <c r="C144" s="89" t="s">
        <v>398</v>
      </c>
      <c r="D144" s="89"/>
      <c r="E144" s="90" t="s">
        <v>399</v>
      </c>
      <c r="F144" s="89" t="s">
        <v>400</v>
      </c>
      <c r="G144" s="89"/>
      <c r="H144" s="89" t="s">
        <v>401</v>
      </c>
      <c r="I144" s="89"/>
      <c r="J144" s="89" t="s">
        <v>402</v>
      </c>
      <c r="K144" s="91"/>
    </row>
    <row r="145" spans="1:11" x14ac:dyDescent="0.45">
      <c r="A145" s="89" t="s">
        <v>52</v>
      </c>
      <c r="B145" s="91" t="s">
        <v>46</v>
      </c>
      <c r="C145" s="89" t="s">
        <v>38</v>
      </c>
      <c r="D145" s="89" t="s">
        <v>20</v>
      </c>
      <c r="E145" s="89" t="s">
        <v>27</v>
      </c>
      <c r="F145" s="89" t="s">
        <v>403</v>
      </c>
      <c r="G145" s="89">
        <v>17.32</v>
      </c>
      <c r="H145" s="89" t="s">
        <v>28</v>
      </c>
      <c r="I145" s="89" t="s">
        <v>197</v>
      </c>
      <c r="J145" s="89" t="s">
        <v>160</v>
      </c>
      <c r="K145" s="91"/>
    </row>
    <row r="146" spans="1:11" x14ac:dyDescent="0.45">
      <c r="A146" s="89" t="s">
        <v>40</v>
      </c>
      <c r="B146" s="89" t="s">
        <v>11</v>
      </c>
      <c r="C146" s="89" t="s">
        <v>38</v>
      </c>
      <c r="D146" s="89" t="s">
        <v>388</v>
      </c>
      <c r="E146" s="89" t="s">
        <v>21</v>
      </c>
      <c r="F146" s="89" t="s">
        <v>404</v>
      </c>
      <c r="G146" s="89">
        <v>118.12</v>
      </c>
      <c r="H146" s="89" t="s">
        <v>168</v>
      </c>
      <c r="I146" s="89" t="s">
        <v>156</v>
      </c>
      <c r="J146" s="89" t="s">
        <v>160</v>
      </c>
      <c r="K146" s="89" t="s">
        <v>198</v>
      </c>
    </row>
    <row r="147" spans="1:11" x14ac:dyDescent="0.45">
      <c r="A147" s="89" t="s">
        <v>10</v>
      </c>
      <c r="B147" s="89" t="s">
        <v>11</v>
      </c>
      <c r="C147" s="89" t="s">
        <v>405</v>
      </c>
      <c r="D147" s="89" t="s">
        <v>20</v>
      </c>
      <c r="E147" s="90" t="s">
        <v>406</v>
      </c>
      <c r="F147" s="89">
        <v>78.75</v>
      </c>
      <c r="G147" s="89">
        <v>80.33</v>
      </c>
      <c r="H147" s="89" t="s">
        <v>168</v>
      </c>
      <c r="I147" s="89"/>
      <c r="J147" s="89" t="s">
        <v>148</v>
      </c>
      <c r="K147" s="89" t="s">
        <v>191</v>
      </c>
    </row>
    <row r="148" spans="1:11" x14ac:dyDescent="0.45">
      <c r="A148" s="89" t="s">
        <v>407</v>
      </c>
      <c r="B148" s="89" t="s">
        <v>11</v>
      </c>
      <c r="C148" s="89" t="s">
        <v>42</v>
      </c>
      <c r="D148" s="89" t="s">
        <v>199</v>
      </c>
      <c r="E148" s="89" t="s">
        <v>27</v>
      </c>
      <c r="F148" s="89" t="s">
        <v>408</v>
      </c>
      <c r="G148" s="89">
        <v>12.36</v>
      </c>
      <c r="H148" s="89" t="s">
        <v>333</v>
      </c>
      <c r="I148" s="89" t="s">
        <v>197</v>
      </c>
      <c r="J148" s="89" t="s">
        <v>157</v>
      </c>
      <c r="K148" s="89" t="s">
        <v>174</v>
      </c>
    </row>
    <row r="149" spans="1:11" x14ac:dyDescent="0.45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</row>
    <row r="150" spans="1:11" x14ac:dyDescent="0.45">
      <c r="A150" s="89" t="s">
        <v>52</v>
      </c>
      <c r="B150" s="89" t="s">
        <v>46</v>
      </c>
      <c r="C150" s="89" t="s">
        <v>38</v>
      </c>
      <c r="D150" s="89" t="s">
        <v>13</v>
      </c>
      <c r="E150" s="89" t="s">
        <v>409</v>
      </c>
      <c r="F150" s="89"/>
      <c r="G150" s="89" t="e">
        <v>#VALUE!</v>
      </c>
      <c r="H150" s="89" t="s">
        <v>367</v>
      </c>
      <c r="I150" s="89" t="s">
        <v>147</v>
      </c>
      <c r="J150" s="91" t="s">
        <v>160</v>
      </c>
      <c r="K150" s="89"/>
    </row>
    <row r="151" spans="1:11" x14ac:dyDescent="0.45">
      <c r="A151" s="89" t="s">
        <v>37</v>
      </c>
      <c r="B151" s="89" t="s">
        <v>11</v>
      </c>
      <c r="C151" s="89" t="s">
        <v>38</v>
      </c>
      <c r="D151" s="89" t="s">
        <v>13</v>
      </c>
      <c r="E151" s="89" t="s">
        <v>14</v>
      </c>
      <c r="F151" s="89" t="s">
        <v>410</v>
      </c>
      <c r="G151" s="89">
        <v>130</v>
      </c>
      <c r="H151" s="89" t="s">
        <v>285</v>
      </c>
      <c r="I151" s="89" t="s">
        <v>156</v>
      </c>
      <c r="J151" s="89" t="s">
        <v>181</v>
      </c>
      <c r="K151" s="89" t="s">
        <v>155</v>
      </c>
    </row>
    <row r="152" spans="1:11" x14ac:dyDescent="0.45">
      <c r="A152" s="89" t="s">
        <v>48</v>
      </c>
      <c r="B152" s="89" t="s">
        <v>46</v>
      </c>
      <c r="C152" s="89" t="s">
        <v>12</v>
      </c>
      <c r="D152" s="89" t="s">
        <v>20</v>
      </c>
      <c r="E152" s="89" t="s">
        <v>25</v>
      </c>
      <c r="F152" s="89" t="s">
        <v>411</v>
      </c>
      <c r="G152" s="89" t="s">
        <v>412</v>
      </c>
      <c r="H152" s="89" t="s">
        <v>26</v>
      </c>
      <c r="I152" s="89" t="s">
        <v>221</v>
      </c>
      <c r="J152" s="89" t="s">
        <v>154</v>
      </c>
      <c r="K152" s="89" t="s">
        <v>174</v>
      </c>
    </row>
    <row r="153" spans="1:11" x14ac:dyDescent="0.45">
      <c r="A153" s="89" t="s">
        <v>37</v>
      </c>
      <c r="B153" s="91" t="s">
        <v>11</v>
      </c>
      <c r="C153" s="91" t="s">
        <v>38</v>
      </c>
      <c r="D153" s="89" t="s">
        <v>187</v>
      </c>
      <c r="E153" s="89" t="s">
        <v>21</v>
      </c>
      <c r="F153" s="89">
        <v>112.5</v>
      </c>
      <c r="G153" s="89">
        <v>117</v>
      </c>
      <c r="H153" s="89" t="s">
        <v>22</v>
      </c>
      <c r="I153" s="89" t="s">
        <v>221</v>
      </c>
      <c r="J153" s="89" t="s">
        <v>157</v>
      </c>
      <c r="K153" s="89" t="s">
        <v>212</v>
      </c>
    </row>
    <row r="154" spans="1:11" x14ac:dyDescent="0.45">
      <c r="A154" s="89" t="s">
        <v>10</v>
      </c>
      <c r="B154" s="89" t="s">
        <v>11</v>
      </c>
      <c r="C154" s="89" t="s">
        <v>12</v>
      </c>
      <c r="D154" s="89" t="s">
        <v>202</v>
      </c>
      <c r="E154" s="89" t="s">
        <v>16</v>
      </c>
      <c r="F154" s="89">
        <v>52.5</v>
      </c>
      <c r="G154" s="89" t="s">
        <v>413</v>
      </c>
      <c r="H154" s="89" t="s">
        <v>277</v>
      </c>
      <c r="I154" s="89" t="s">
        <v>221</v>
      </c>
      <c r="J154" s="89"/>
      <c r="K154" s="89"/>
    </row>
    <row r="155" spans="1:11" x14ac:dyDescent="0.45">
      <c r="A155" s="89" t="s">
        <v>32</v>
      </c>
      <c r="B155" s="89" t="s">
        <v>235</v>
      </c>
      <c r="C155" s="89" t="s">
        <v>12</v>
      </c>
      <c r="D155" s="89" t="s">
        <v>13</v>
      </c>
      <c r="E155" s="89" t="s">
        <v>272</v>
      </c>
      <c r="F155" s="89">
        <v>35</v>
      </c>
      <c r="G155" s="89" t="s">
        <v>185</v>
      </c>
      <c r="H155" s="89" t="s">
        <v>19</v>
      </c>
      <c r="I155" s="89"/>
      <c r="J155" s="89" t="s">
        <v>181</v>
      </c>
      <c r="K155" s="89" t="s">
        <v>149</v>
      </c>
    </row>
    <row r="156" spans="1:11" x14ac:dyDescent="0.45">
      <c r="A156" s="89" t="s">
        <v>31</v>
      </c>
      <c r="B156" s="89" t="s">
        <v>11</v>
      </c>
      <c r="C156" s="89" t="s">
        <v>12</v>
      </c>
      <c r="D156" s="89" t="s">
        <v>199</v>
      </c>
      <c r="E156" s="91" t="s">
        <v>23</v>
      </c>
      <c r="F156" s="89">
        <v>17.5</v>
      </c>
      <c r="G156" s="89" t="s">
        <v>414</v>
      </c>
      <c r="H156" s="89" t="s">
        <v>415</v>
      </c>
      <c r="I156" s="89" t="s">
        <v>197</v>
      </c>
      <c r="J156" s="89" t="s">
        <v>181</v>
      </c>
      <c r="K156" s="89"/>
    </row>
    <row r="157" spans="1:11" x14ac:dyDescent="0.45">
      <c r="A157" s="89" t="s">
        <v>240</v>
      </c>
      <c r="B157" s="89" t="s">
        <v>46</v>
      </c>
      <c r="C157" s="89" t="s">
        <v>42</v>
      </c>
      <c r="D157" s="89" t="s">
        <v>20</v>
      </c>
      <c r="E157" s="89" t="s">
        <v>21</v>
      </c>
      <c r="F157" s="89" t="s">
        <v>416</v>
      </c>
      <c r="G157" s="89">
        <v>84.7</v>
      </c>
      <c r="H157" s="89" t="s">
        <v>22</v>
      </c>
      <c r="I157" s="89" t="s">
        <v>221</v>
      </c>
      <c r="J157" s="89" t="s">
        <v>164</v>
      </c>
      <c r="K157" s="89"/>
    </row>
    <row r="158" spans="1:11" x14ac:dyDescent="0.45">
      <c r="A158" s="89" t="s">
        <v>39</v>
      </c>
      <c r="B158" s="89" t="s">
        <v>11</v>
      </c>
      <c r="C158" s="89" t="s">
        <v>38</v>
      </c>
      <c r="D158" s="89" t="s">
        <v>13</v>
      </c>
      <c r="E158" s="89" t="s">
        <v>14</v>
      </c>
      <c r="F158" s="89">
        <v>137.5</v>
      </c>
      <c r="G158" s="89" t="s">
        <v>417</v>
      </c>
      <c r="H158" s="89" t="s">
        <v>15</v>
      </c>
      <c r="I158" s="89" t="s">
        <v>156</v>
      </c>
      <c r="J158" s="89" t="s">
        <v>157</v>
      </c>
      <c r="K158" s="89" t="s">
        <v>191</v>
      </c>
    </row>
    <row r="159" spans="1:11" x14ac:dyDescent="0.45">
      <c r="A159" s="89" t="s">
        <v>33</v>
      </c>
      <c r="B159" s="89" t="s">
        <v>165</v>
      </c>
      <c r="C159" s="89" t="s">
        <v>34</v>
      </c>
      <c r="D159" s="89" t="s">
        <v>254</v>
      </c>
      <c r="E159" s="89" t="s">
        <v>288</v>
      </c>
      <c r="F159" s="89">
        <v>60</v>
      </c>
      <c r="G159" s="89" t="s">
        <v>418</v>
      </c>
      <c r="H159" s="89" t="s">
        <v>367</v>
      </c>
      <c r="I159" s="91"/>
      <c r="J159" s="89" t="s">
        <v>148</v>
      </c>
      <c r="K159" s="89" t="s">
        <v>149</v>
      </c>
    </row>
    <row r="160" spans="1:11" x14ac:dyDescent="0.45">
      <c r="A160" s="89" t="s">
        <v>419</v>
      </c>
      <c r="B160" s="89" t="s">
        <v>46</v>
      </c>
      <c r="C160" s="89" t="s">
        <v>12</v>
      </c>
      <c r="D160" s="89" t="s">
        <v>344</v>
      </c>
      <c r="E160" s="89" t="s">
        <v>25</v>
      </c>
      <c r="F160" s="89">
        <v>15.75</v>
      </c>
      <c r="G160" s="89">
        <v>17.010000000000002</v>
      </c>
      <c r="H160" s="89" t="s">
        <v>26</v>
      </c>
      <c r="I160" s="89" t="s">
        <v>159</v>
      </c>
      <c r="J160" s="89"/>
      <c r="K160" s="89"/>
    </row>
    <row r="161" spans="1:11" x14ac:dyDescent="0.45">
      <c r="A161" s="89" t="s">
        <v>323</v>
      </c>
      <c r="B161" s="89" t="s">
        <v>11</v>
      </c>
      <c r="C161" s="91" t="s">
        <v>34</v>
      </c>
      <c r="D161" s="89" t="s">
        <v>344</v>
      </c>
      <c r="E161" s="89" t="s">
        <v>420</v>
      </c>
      <c r="F161" s="89" t="s">
        <v>421</v>
      </c>
      <c r="G161" s="89" t="s">
        <v>422</v>
      </c>
      <c r="H161" s="89" t="s">
        <v>22</v>
      </c>
      <c r="I161" s="89" t="s">
        <v>197</v>
      </c>
      <c r="J161" s="89" t="s">
        <v>160</v>
      </c>
      <c r="K161" s="89" t="s">
        <v>191</v>
      </c>
    </row>
    <row r="162" spans="1:11" x14ac:dyDescent="0.45">
      <c r="A162" s="89" t="s">
        <v>423</v>
      </c>
      <c r="B162" s="89" t="s">
        <v>46</v>
      </c>
      <c r="C162" s="90" t="s">
        <v>34</v>
      </c>
      <c r="D162" s="94" t="s">
        <v>13</v>
      </c>
      <c r="E162" s="89" t="s">
        <v>424</v>
      </c>
      <c r="F162" s="89" t="s">
        <v>425</v>
      </c>
      <c r="G162" s="89">
        <v>53.59</v>
      </c>
      <c r="H162" s="89" t="s">
        <v>17</v>
      </c>
      <c r="I162" s="89" t="s">
        <v>147</v>
      </c>
      <c r="J162" s="89"/>
      <c r="K162" s="90"/>
    </row>
    <row r="163" spans="1:11" x14ac:dyDescent="0.45">
      <c r="A163" s="89" t="s">
        <v>45</v>
      </c>
      <c r="B163" s="89" t="s">
        <v>46</v>
      </c>
      <c r="C163" s="89" t="s">
        <v>12</v>
      </c>
      <c r="D163" s="89" t="s">
        <v>20</v>
      </c>
      <c r="E163" s="89" t="s">
        <v>426</v>
      </c>
      <c r="F163" s="89">
        <v>7.7</v>
      </c>
      <c r="G163" s="89">
        <v>7.78</v>
      </c>
      <c r="H163" s="89" t="s">
        <v>30</v>
      </c>
      <c r="I163" s="89" t="s">
        <v>221</v>
      </c>
      <c r="J163" s="89" t="s">
        <v>164</v>
      </c>
      <c r="K163" s="89"/>
    </row>
    <row r="164" spans="1:11" x14ac:dyDescent="0.45">
      <c r="A164" s="89" t="s">
        <v>31</v>
      </c>
      <c r="B164" s="89" t="s">
        <v>11</v>
      </c>
      <c r="C164" s="89" t="s">
        <v>12</v>
      </c>
      <c r="D164" s="89" t="s">
        <v>20</v>
      </c>
      <c r="E164" s="89" t="s">
        <v>188</v>
      </c>
      <c r="F164" s="89">
        <v>10.5</v>
      </c>
      <c r="G164" s="89" t="s">
        <v>427</v>
      </c>
      <c r="H164" s="89" t="s">
        <v>28</v>
      </c>
      <c r="I164" s="89" t="s">
        <v>156</v>
      </c>
      <c r="J164" s="90" t="s">
        <v>164</v>
      </c>
      <c r="K164" s="89" t="s">
        <v>149</v>
      </c>
    </row>
    <row r="165" spans="1:11" x14ac:dyDescent="0.45">
      <c r="A165" s="89" t="s">
        <v>50</v>
      </c>
      <c r="B165" s="89" t="s">
        <v>46</v>
      </c>
      <c r="C165" s="89" t="s">
        <v>34</v>
      </c>
      <c r="D165" s="89" t="s">
        <v>199</v>
      </c>
      <c r="E165" s="89" t="s">
        <v>189</v>
      </c>
      <c r="F165" s="89">
        <v>13.2</v>
      </c>
      <c r="G165" s="89">
        <v>13.73</v>
      </c>
      <c r="H165" s="89" t="s">
        <v>428</v>
      </c>
      <c r="I165" s="89" t="s">
        <v>221</v>
      </c>
      <c r="J165" s="89"/>
      <c r="K165" s="89" t="s">
        <v>174</v>
      </c>
    </row>
    <row r="166" spans="1:11" x14ac:dyDescent="0.45">
      <c r="A166" s="89" t="s">
        <v>48</v>
      </c>
      <c r="B166" s="89" t="s">
        <v>46</v>
      </c>
      <c r="C166" s="89" t="s">
        <v>12</v>
      </c>
      <c r="D166" s="89" t="s">
        <v>20</v>
      </c>
      <c r="E166" s="89" t="s">
        <v>420</v>
      </c>
      <c r="F166" s="89" t="s">
        <v>429</v>
      </c>
      <c r="G166" s="89"/>
      <c r="H166" s="89" t="s">
        <v>22</v>
      </c>
      <c r="I166" s="89" t="s">
        <v>197</v>
      </c>
      <c r="J166" s="89" t="s">
        <v>148</v>
      </c>
      <c r="K166" s="89" t="s">
        <v>174</v>
      </c>
    </row>
    <row r="167" spans="1:11" x14ac:dyDescent="0.45">
      <c r="A167" s="89"/>
      <c r="B167" s="89"/>
      <c r="C167" s="89"/>
      <c r="D167" s="89"/>
      <c r="E167" s="91"/>
      <c r="F167" s="89"/>
      <c r="G167" s="89"/>
      <c r="H167" s="89"/>
      <c r="I167" s="89"/>
      <c r="J167" s="89"/>
      <c r="K167" s="89"/>
    </row>
    <row r="168" spans="1:11" x14ac:dyDescent="0.45">
      <c r="A168" s="89" t="s">
        <v>40</v>
      </c>
      <c r="B168" s="89" t="s">
        <v>11</v>
      </c>
      <c r="C168" s="89" t="s">
        <v>186</v>
      </c>
      <c r="D168" s="89" t="s">
        <v>199</v>
      </c>
      <c r="E168" s="89" t="s">
        <v>329</v>
      </c>
      <c r="F168" s="89">
        <v>15</v>
      </c>
      <c r="G168" s="89">
        <v>15.45</v>
      </c>
      <c r="H168" s="89" t="s">
        <v>28</v>
      </c>
      <c r="I168" s="89" t="s">
        <v>147</v>
      </c>
      <c r="J168" s="89" t="s">
        <v>154</v>
      </c>
      <c r="K168" s="89" t="s">
        <v>155</v>
      </c>
    </row>
    <row r="169" spans="1:11" x14ac:dyDescent="0.45">
      <c r="A169" s="90" t="s">
        <v>55</v>
      </c>
      <c r="B169" s="89" t="s">
        <v>430</v>
      </c>
      <c r="C169" s="89" t="s">
        <v>42</v>
      </c>
      <c r="D169" s="89" t="s">
        <v>13</v>
      </c>
      <c r="E169" s="89" t="s">
        <v>16</v>
      </c>
      <c r="F169" s="89">
        <v>69.3</v>
      </c>
      <c r="G169" s="89">
        <v>59.6</v>
      </c>
      <c r="H169" s="89" t="s">
        <v>277</v>
      </c>
      <c r="I169" s="89" t="s">
        <v>169</v>
      </c>
      <c r="J169" s="89" t="s">
        <v>157</v>
      </c>
      <c r="K169" s="89" t="s">
        <v>198</v>
      </c>
    </row>
    <row r="170" spans="1:11" x14ac:dyDescent="0.45">
      <c r="A170" s="89" t="s">
        <v>431</v>
      </c>
      <c r="B170" s="89" t="s">
        <v>11</v>
      </c>
      <c r="C170" s="89" t="s">
        <v>209</v>
      </c>
      <c r="D170" s="89" t="s">
        <v>166</v>
      </c>
      <c r="E170" s="89" t="s">
        <v>215</v>
      </c>
      <c r="F170" s="89" t="s">
        <v>331</v>
      </c>
      <c r="G170" s="89"/>
      <c r="H170" s="89" t="s">
        <v>30</v>
      </c>
      <c r="I170" s="89" t="s">
        <v>147</v>
      </c>
      <c r="J170" s="89" t="s">
        <v>181</v>
      </c>
      <c r="K170" s="89" t="s">
        <v>174</v>
      </c>
    </row>
    <row r="171" spans="1:11" x14ac:dyDescent="0.45">
      <c r="A171" s="89" t="s">
        <v>52</v>
      </c>
      <c r="B171" s="89" t="s">
        <v>46</v>
      </c>
      <c r="C171" s="89" t="s">
        <v>38</v>
      </c>
      <c r="D171" s="89" t="s">
        <v>13</v>
      </c>
      <c r="E171" s="91" t="s">
        <v>432</v>
      </c>
      <c r="F171" s="89">
        <v>60</v>
      </c>
      <c r="G171" s="89">
        <v>67.8</v>
      </c>
      <c r="H171" s="89" t="s">
        <v>19</v>
      </c>
      <c r="I171" s="89" t="s">
        <v>156</v>
      </c>
      <c r="J171" s="89" t="s">
        <v>154</v>
      </c>
      <c r="K171" s="89" t="s">
        <v>149</v>
      </c>
    </row>
    <row r="172" spans="1:11" x14ac:dyDescent="0.45">
      <c r="A172" s="89" t="s">
        <v>32</v>
      </c>
      <c r="B172" s="89" t="s">
        <v>11</v>
      </c>
      <c r="C172" s="90" t="s">
        <v>12</v>
      </c>
      <c r="D172" s="90" t="s">
        <v>20</v>
      </c>
      <c r="E172" s="89" t="s">
        <v>189</v>
      </c>
      <c r="F172" s="89">
        <v>10.5</v>
      </c>
      <c r="G172" s="89" t="s">
        <v>190</v>
      </c>
      <c r="H172" s="89" t="s">
        <v>239</v>
      </c>
      <c r="I172" s="89"/>
      <c r="J172" s="89" t="s">
        <v>160</v>
      </c>
      <c r="K172" s="89" t="s">
        <v>174</v>
      </c>
    </row>
    <row r="173" spans="1:11" x14ac:dyDescent="0.45">
      <c r="A173" s="89" t="s">
        <v>51</v>
      </c>
      <c r="B173" s="91" t="s">
        <v>46</v>
      </c>
      <c r="C173" s="89" t="s">
        <v>34</v>
      </c>
      <c r="D173" s="89" t="s">
        <v>13</v>
      </c>
      <c r="E173" s="89" t="s">
        <v>18</v>
      </c>
      <c r="F173" s="89">
        <v>48</v>
      </c>
      <c r="G173" s="89">
        <v>53.76</v>
      </c>
      <c r="H173" s="89" t="s">
        <v>244</v>
      </c>
      <c r="I173" s="89" t="s">
        <v>147</v>
      </c>
      <c r="J173" s="91"/>
      <c r="K173" s="89"/>
    </row>
    <row r="174" spans="1:11" x14ac:dyDescent="0.45">
      <c r="A174" s="89" t="s">
        <v>39</v>
      </c>
      <c r="B174" s="89" t="s">
        <v>11</v>
      </c>
      <c r="C174" s="89" t="s">
        <v>38</v>
      </c>
      <c r="D174" s="89" t="s">
        <v>13</v>
      </c>
      <c r="E174" s="91" t="s">
        <v>18</v>
      </c>
      <c r="F174" s="89" t="s">
        <v>433</v>
      </c>
      <c r="G174" s="89">
        <v>60.5</v>
      </c>
      <c r="H174" s="89" t="s">
        <v>19</v>
      </c>
      <c r="I174" s="90" t="s">
        <v>159</v>
      </c>
      <c r="J174" s="89" t="s">
        <v>160</v>
      </c>
      <c r="K174" s="89" t="s">
        <v>155</v>
      </c>
    </row>
    <row r="175" spans="1:11" x14ac:dyDescent="0.45">
      <c r="A175" s="89" t="s">
        <v>41</v>
      </c>
      <c r="B175" s="89" t="s">
        <v>11</v>
      </c>
      <c r="C175" s="89" t="s">
        <v>434</v>
      </c>
      <c r="D175" s="89" t="s">
        <v>187</v>
      </c>
      <c r="E175" s="89" t="s">
        <v>21</v>
      </c>
      <c r="F175" s="89">
        <v>101.25</v>
      </c>
      <c r="G175" s="89" t="s">
        <v>435</v>
      </c>
      <c r="H175" s="89" t="s">
        <v>22</v>
      </c>
      <c r="I175" s="89" t="s">
        <v>221</v>
      </c>
      <c r="J175" s="89" t="s">
        <v>160</v>
      </c>
      <c r="K175" s="89" t="s">
        <v>149</v>
      </c>
    </row>
    <row r="176" spans="1:11" x14ac:dyDescent="0.45">
      <c r="A176" s="89" t="s">
        <v>245</v>
      </c>
      <c r="B176" s="89" t="s">
        <v>11</v>
      </c>
      <c r="C176" s="89" t="s">
        <v>38</v>
      </c>
      <c r="D176" s="89" t="s">
        <v>254</v>
      </c>
      <c r="E176" s="89" t="s">
        <v>195</v>
      </c>
      <c r="F176" s="89">
        <v>125</v>
      </c>
      <c r="G176" s="89" t="s">
        <v>436</v>
      </c>
      <c r="H176" s="89" t="s">
        <v>285</v>
      </c>
      <c r="I176" s="89" t="s">
        <v>197</v>
      </c>
      <c r="J176" s="89"/>
      <c r="K176" s="89"/>
    </row>
    <row r="177" spans="1:11" x14ac:dyDescent="0.45">
      <c r="A177" s="89" t="s">
        <v>437</v>
      </c>
      <c r="B177" s="89" t="s">
        <v>11</v>
      </c>
      <c r="C177" s="89" t="s">
        <v>38</v>
      </c>
      <c r="D177" s="89" t="s">
        <v>20</v>
      </c>
      <c r="E177" s="89" t="s">
        <v>25</v>
      </c>
      <c r="F177" s="89" t="s">
        <v>185</v>
      </c>
      <c r="G177" s="89" t="s">
        <v>438</v>
      </c>
      <c r="H177" s="89" t="s">
        <v>26</v>
      </c>
      <c r="I177" s="89" t="s">
        <v>156</v>
      </c>
      <c r="J177" s="89" t="s">
        <v>160</v>
      </c>
      <c r="K177" s="89"/>
    </row>
    <row r="178" spans="1:11" x14ac:dyDescent="0.45">
      <c r="A178" s="89" t="s">
        <v>439</v>
      </c>
      <c r="B178" s="89"/>
      <c r="C178" s="89"/>
      <c r="D178" s="89"/>
      <c r="E178" s="89" t="s">
        <v>440</v>
      </c>
      <c r="F178" s="89">
        <v>2750</v>
      </c>
      <c r="G178" s="91">
        <v>2772.18</v>
      </c>
      <c r="H178" s="89" t="s">
        <v>441</v>
      </c>
      <c r="I178" s="89"/>
      <c r="J178" s="89" t="s">
        <v>442</v>
      </c>
      <c r="K178" s="89" t="s">
        <v>443</v>
      </c>
    </row>
    <row r="179" spans="1:11" x14ac:dyDescent="0.45">
      <c r="A179" s="89" t="s">
        <v>444</v>
      </c>
      <c r="B179" s="89" t="s">
        <v>46</v>
      </c>
      <c r="C179" s="89" t="s">
        <v>34</v>
      </c>
      <c r="D179" s="89" t="s">
        <v>20</v>
      </c>
      <c r="E179" s="89" t="s">
        <v>243</v>
      </c>
      <c r="F179" s="89" t="s">
        <v>445</v>
      </c>
      <c r="G179" s="89">
        <v>102.61</v>
      </c>
      <c r="H179" s="89" t="s">
        <v>22</v>
      </c>
      <c r="I179" s="89" t="s">
        <v>147</v>
      </c>
      <c r="J179" s="91" t="s">
        <v>154</v>
      </c>
      <c r="K179" s="89" t="s">
        <v>191</v>
      </c>
    </row>
    <row r="180" spans="1:11" x14ac:dyDescent="0.45">
      <c r="A180" s="89" t="s">
        <v>41</v>
      </c>
      <c r="B180" s="89" t="s">
        <v>11</v>
      </c>
      <c r="C180" s="89" t="s">
        <v>151</v>
      </c>
      <c r="D180" s="89" t="s">
        <v>20</v>
      </c>
      <c r="E180" s="89" t="s">
        <v>23</v>
      </c>
      <c r="F180" s="89" t="s">
        <v>185</v>
      </c>
      <c r="G180" s="89" t="s">
        <v>446</v>
      </c>
      <c r="H180" s="89" t="s">
        <v>415</v>
      </c>
      <c r="I180" s="89" t="s">
        <v>169</v>
      </c>
      <c r="J180" s="89" t="s">
        <v>148</v>
      </c>
      <c r="K180" s="89" t="s">
        <v>174</v>
      </c>
    </row>
    <row r="181" spans="1:11" x14ac:dyDescent="0.45">
      <c r="A181" s="89" t="s">
        <v>447</v>
      </c>
      <c r="B181" s="89" t="s">
        <v>11</v>
      </c>
      <c r="C181" s="89" t="s">
        <v>34</v>
      </c>
      <c r="D181" s="89" t="s">
        <v>310</v>
      </c>
      <c r="E181" s="89" t="s">
        <v>18</v>
      </c>
      <c r="F181" s="90">
        <v>40</v>
      </c>
      <c r="G181" s="89">
        <v>42.4</v>
      </c>
      <c r="H181" s="89" t="s">
        <v>19</v>
      </c>
      <c r="I181" s="89" t="s">
        <v>159</v>
      </c>
      <c r="J181" s="89" t="s">
        <v>148</v>
      </c>
      <c r="K181" s="89"/>
    </row>
    <row r="182" spans="1:11" x14ac:dyDescent="0.45">
      <c r="A182" s="89" t="s">
        <v>53</v>
      </c>
      <c r="B182" s="90" t="s">
        <v>46</v>
      </c>
      <c r="C182" s="89" t="s">
        <v>38</v>
      </c>
      <c r="D182" s="89" t="s">
        <v>20</v>
      </c>
      <c r="E182" s="89" t="s">
        <v>21</v>
      </c>
      <c r="F182" s="89">
        <v>133.1</v>
      </c>
      <c r="G182" s="89" t="s">
        <v>448</v>
      </c>
      <c r="H182" s="89" t="s">
        <v>286</v>
      </c>
      <c r="I182" s="89"/>
      <c r="J182" s="89" t="s">
        <v>154</v>
      </c>
      <c r="K182" s="89"/>
    </row>
    <row r="183" spans="1:11" x14ac:dyDescent="0.45">
      <c r="A183" s="89" t="s">
        <v>44</v>
      </c>
      <c r="B183" s="89" t="s">
        <v>235</v>
      </c>
      <c r="C183" s="89" t="s">
        <v>42</v>
      </c>
      <c r="D183" s="89" t="s">
        <v>20</v>
      </c>
      <c r="E183" s="89" t="s">
        <v>391</v>
      </c>
      <c r="F183" s="89">
        <v>10.5</v>
      </c>
      <c r="G183" s="89">
        <v>11.03</v>
      </c>
      <c r="H183" s="89" t="s">
        <v>333</v>
      </c>
      <c r="I183" s="89" t="s">
        <v>221</v>
      </c>
      <c r="J183" s="89" t="s">
        <v>148</v>
      </c>
      <c r="K183" s="89" t="s">
        <v>198</v>
      </c>
    </row>
    <row r="184" spans="1:11" x14ac:dyDescent="0.45">
      <c r="A184" s="89" t="s">
        <v>449</v>
      </c>
      <c r="B184" s="89" t="s">
        <v>46</v>
      </c>
      <c r="C184" s="91" t="s">
        <v>12</v>
      </c>
      <c r="D184" s="89" t="s">
        <v>185</v>
      </c>
      <c r="E184" s="89" t="s">
        <v>27</v>
      </c>
      <c r="F184" s="89">
        <v>11.55</v>
      </c>
      <c r="G184" s="89">
        <v>11.9</v>
      </c>
      <c r="H184" s="89" t="s">
        <v>333</v>
      </c>
      <c r="I184" s="89"/>
      <c r="J184" s="91" t="s">
        <v>181</v>
      </c>
      <c r="K184" s="89" t="s">
        <v>149</v>
      </c>
    </row>
    <row r="185" spans="1:11" x14ac:dyDescent="0.45">
      <c r="A185" s="89" t="s">
        <v>45</v>
      </c>
      <c r="B185" s="91" t="s">
        <v>46</v>
      </c>
      <c r="C185" s="89" t="s">
        <v>12</v>
      </c>
      <c r="D185" s="89" t="s">
        <v>310</v>
      </c>
      <c r="E185" s="89" t="s">
        <v>16</v>
      </c>
      <c r="F185" s="89" t="s">
        <v>450</v>
      </c>
      <c r="G185" s="89">
        <v>48.51</v>
      </c>
      <c r="H185" s="89" t="s">
        <v>451</v>
      </c>
      <c r="I185" s="89" t="s">
        <v>197</v>
      </c>
      <c r="J185" s="89" t="s">
        <v>148</v>
      </c>
      <c r="K185" s="89" t="s">
        <v>198</v>
      </c>
    </row>
    <row r="186" spans="1:11" x14ac:dyDescent="0.45">
      <c r="A186" s="89" t="s">
        <v>45</v>
      </c>
      <c r="B186" s="89" t="s">
        <v>46</v>
      </c>
      <c r="C186" s="89" t="s">
        <v>12</v>
      </c>
      <c r="D186" s="90" t="s">
        <v>20</v>
      </c>
      <c r="E186" s="89" t="s">
        <v>27</v>
      </c>
      <c r="F186" s="89">
        <v>11.55</v>
      </c>
      <c r="G186" s="89">
        <v>11.9</v>
      </c>
      <c r="H186" s="89" t="s">
        <v>28</v>
      </c>
      <c r="I186" s="89" t="s">
        <v>159</v>
      </c>
      <c r="J186" s="89"/>
      <c r="K186" s="90" t="s">
        <v>174</v>
      </c>
    </row>
    <row r="187" spans="1:11" x14ac:dyDescent="0.45">
      <c r="A187" s="89" t="s">
        <v>452</v>
      </c>
      <c r="B187" s="89" t="s">
        <v>11</v>
      </c>
      <c r="C187" s="89" t="s">
        <v>151</v>
      </c>
      <c r="D187" s="89" t="s">
        <v>20</v>
      </c>
      <c r="E187" s="89" t="s">
        <v>23</v>
      </c>
      <c r="F187" s="89">
        <v>17.5</v>
      </c>
      <c r="G187" s="90">
        <v>18.03</v>
      </c>
      <c r="H187" s="89" t="s">
        <v>24</v>
      </c>
      <c r="I187" s="89" t="s">
        <v>156</v>
      </c>
      <c r="J187" s="89" t="s">
        <v>148</v>
      </c>
      <c r="K187" s="89"/>
    </row>
    <row r="188" spans="1:11" x14ac:dyDescent="0.45">
      <c r="A188" s="89" t="s">
        <v>49</v>
      </c>
      <c r="B188" s="89" t="s">
        <v>46</v>
      </c>
      <c r="C188" s="89" t="s">
        <v>34</v>
      </c>
      <c r="D188" s="89" t="s">
        <v>20</v>
      </c>
      <c r="E188" s="89" t="s">
        <v>453</v>
      </c>
      <c r="F188" s="89" t="s">
        <v>454</v>
      </c>
      <c r="G188" s="89" t="s">
        <v>455</v>
      </c>
      <c r="H188" s="89" t="s">
        <v>24</v>
      </c>
      <c r="I188" s="89" t="s">
        <v>221</v>
      </c>
      <c r="J188" s="89" t="s">
        <v>157</v>
      </c>
      <c r="K188" s="89" t="s">
        <v>212</v>
      </c>
    </row>
    <row r="189" spans="1:11" x14ac:dyDescent="0.45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</row>
    <row r="190" spans="1:11" x14ac:dyDescent="0.45">
      <c r="A190" s="91" t="s">
        <v>45</v>
      </c>
      <c r="B190" s="89" t="s">
        <v>46</v>
      </c>
      <c r="C190" s="89" t="s">
        <v>12</v>
      </c>
      <c r="D190" s="89" t="s">
        <v>20</v>
      </c>
      <c r="E190" s="89" t="s">
        <v>456</v>
      </c>
      <c r="F190" s="89">
        <v>99999</v>
      </c>
      <c r="G190" s="89">
        <v>88.94</v>
      </c>
      <c r="H190" s="89" t="s">
        <v>22</v>
      </c>
      <c r="I190" s="89" t="s">
        <v>159</v>
      </c>
      <c r="J190" s="89" t="s">
        <v>181</v>
      </c>
      <c r="K190" s="89" t="s">
        <v>174</v>
      </c>
    </row>
    <row r="191" spans="1:11" x14ac:dyDescent="0.45">
      <c r="A191" s="89" t="s">
        <v>47</v>
      </c>
      <c r="B191" s="89" t="s">
        <v>46</v>
      </c>
      <c r="C191" s="89" t="s">
        <v>12</v>
      </c>
      <c r="D191" s="89" t="s">
        <v>13</v>
      </c>
      <c r="E191" s="89" t="s">
        <v>16</v>
      </c>
      <c r="F191" s="89">
        <v>53.9</v>
      </c>
      <c r="G191" s="89">
        <v>47.97</v>
      </c>
      <c r="H191" s="89" t="s">
        <v>17</v>
      </c>
      <c r="I191" s="89" t="s">
        <v>221</v>
      </c>
      <c r="J191" s="89"/>
      <c r="K191" s="89" t="s">
        <v>155</v>
      </c>
    </row>
    <row r="192" spans="1:11" x14ac:dyDescent="0.45">
      <c r="A192" s="89" t="s">
        <v>50</v>
      </c>
      <c r="B192" s="89" t="s">
        <v>46</v>
      </c>
      <c r="C192" s="89" t="s">
        <v>457</v>
      </c>
      <c r="D192" s="89" t="s">
        <v>20</v>
      </c>
      <c r="E192" s="89" t="s">
        <v>385</v>
      </c>
      <c r="F192" s="89">
        <v>99999</v>
      </c>
      <c r="G192" s="95" t="s">
        <v>458</v>
      </c>
      <c r="H192" s="89" t="s">
        <v>30</v>
      </c>
      <c r="I192" s="89" t="s">
        <v>147</v>
      </c>
      <c r="J192" s="89"/>
      <c r="K192" s="89"/>
    </row>
    <row r="193" spans="1:11" x14ac:dyDescent="0.45">
      <c r="A193" s="89" t="s">
        <v>56</v>
      </c>
      <c r="B193" s="89" t="s">
        <v>46</v>
      </c>
      <c r="C193" s="89" t="s">
        <v>42</v>
      </c>
      <c r="D193" s="89" t="s">
        <v>13</v>
      </c>
      <c r="E193" s="89" t="s">
        <v>14</v>
      </c>
      <c r="F193" s="89">
        <v>110.4</v>
      </c>
      <c r="G193" s="91" t="s">
        <v>459</v>
      </c>
      <c r="H193" s="89" t="s">
        <v>15</v>
      </c>
      <c r="I193" s="89" t="s">
        <v>197</v>
      </c>
      <c r="J193" s="89"/>
      <c r="K193" s="89" t="s">
        <v>212</v>
      </c>
    </row>
    <row r="194" spans="1:11" x14ac:dyDescent="0.45">
      <c r="A194" s="89" t="s">
        <v>36</v>
      </c>
      <c r="B194" s="90" t="s">
        <v>11</v>
      </c>
      <c r="C194" s="89" t="s">
        <v>34</v>
      </c>
      <c r="D194" s="89" t="s">
        <v>13</v>
      </c>
      <c r="E194" s="89" t="s">
        <v>14</v>
      </c>
      <c r="F194" s="89">
        <v>100</v>
      </c>
      <c r="G194" s="89">
        <v>103</v>
      </c>
      <c r="H194" s="89" t="s">
        <v>15</v>
      </c>
      <c r="I194" s="89" t="s">
        <v>197</v>
      </c>
      <c r="J194" s="89"/>
      <c r="K194" s="89" t="s">
        <v>212</v>
      </c>
    </row>
    <row r="195" spans="1:11" x14ac:dyDescent="0.45">
      <c r="A195" s="89" t="s">
        <v>460</v>
      </c>
      <c r="B195" s="89" t="s">
        <v>46</v>
      </c>
      <c r="C195" s="90" t="s">
        <v>42</v>
      </c>
      <c r="D195" s="89" t="s">
        <v>13</v>
      </c>
      <c r="E195" s="89" t="s">
        <v>195</v>
      </c>
      <c r="F195" s="89">
        <v>96.6</v>
      </c>
      <c r="G195" s="89">
        <v>102.4</v>
      </c>
      <c r="H195" s="89" t="s">
        <v>15</v>
      </c>
      <c r="I195" s="89" t="s">
        <v>197</v>
      </c>
      <c r="J195" s="89" t="s">
        <v>160</v>
      </c>
      <c r="K195" s="89" t="s">
        <v>191</v>
      </c>
    </row>
    <row r="196" spans="1:11" x14ac:dyDescent="0.45">
      <c r="A196" s="89" t="s">
        <v>10</v>
      </c>
      <c r="B196" s="89" t="s">
        <v>11</v>
      </c>
      <c r="C196" s="89" t="s">
        <v>12</v>
      </c>
      <c r="D196" s="89" t="s">
        <v>20</v>
      </c>
      <c r="E196" s="89" t="s">
        <v>21</v>
      </c>
      <c r="F196" s="89">
        <v>78.75</v>
      </c>
      <c r="G196" s="90">
        <v>80.33</v>
      </c>
      <c r="H196" s="89" t="s">
        <v>461</v>
      </c>
      <c r="I196" s="89"/>
      <c r="J196" s="89"/>
      <c r="K196" s="89" t="s">
        <v>462</v>
      </c>
    </row>
    <row r="197" spans="1:11" x14ac:dyDescent="0.45">
      <c r="A197" s="89" t="s">
        <v>35</v>
      </c>
      <c r="B197" s="89" t="s">
        <v>11</v>
      </c>
      <c r="C197" s="89" t="s">
        <v>290</v>
      </c>
      <c r="D197" s="89" t="s">
        <v>237</v>
      </c>
      <c r="E197" s="89" t="s">
        <v>29</v>
      </c>
      <c r="F197" s="89" t="s">
        <v>386</v>
      </c>
      <c r="G197" s="89" t="s">
        <v>463</v>
      </c>
      <c r="H197" s="89" t="s">
        <v>30</v>
      </c>
      <c r="I197" s="89" t="s">
        <v>159</v>
      </c>
      <c r="J197" s="89"/>
      <c r="K197" s="89" t="s">
        <v>174</v>
      </c>
    </row>
    <row r="198" spans="1:11" x14ac:dyDescent="0.45">
      <c r="A198" s="89" t="s">
        <v>43</v>
      </c>
      <c r="B198" s="89" t="s">
        <v>11</v>
      </c>
      <c r="C198" s="89" t="s">
        <v>151</v>
      </c>
      <c r="D198" s="89" t="s">
        <v>187</v>
      </c>
      <c r="E198" s="91" t="s">
        <v>23</v>
      </c>
      <c r="F198" s="89" t="s">
        <v>464</v>
      </c>
      <c r="G198" s="91" t="s">
        <v>465</v>
      </c>
      <c r="H198" s="89" t="s">
        <v>415</v>
      </c>
      <c r="I198" s="89" t="s">
        <v>169</v>
      </c>
      <c r="J198" s="89" t="s">
        <v>148</v>
      </c>
      <c r="K198" s="89" t="s">
        <v>212</v>
      </c>
    </row>
    <row r="199" spans="1:11" x14ac:dyDescent="0.45">
      <c r="A199" s="89" t="s">
        <v>10</v>
      </c>
      <c r="B199" s="89" t="s">
        <v>11</v>
      </c>
      <c r="C199" s="89" t="s">
        <v>405</v>
      </c>
      <c r="D199" s="89" t="s">
        <v>13</v>
      </c>
      <c r="E199" s="89" t="s">
        <v>466</v>
      </c>
      <c r="F199" s="89">
        <v>35</v>
      </c>
      <c r="G199" s="89">
        <v>36.4</v>
      </c>
      <c r="H199" s="89" t="s">
        <v>19</v>
      </c>
      <c r="I199" s="89" t="s">
        <v>197</v>
      </c>
      <c r="J199" s="89" t="s">
        <v>157</v>
      </c>
      <c r="K199" s="89" t="s">
        <v>174</v>
      </c>
    </row>
    <row r="200" spans="1:11" x14ac:dyDescent="0.45">
      <c r="A200" s="89" t="s">
        <v>37</v>
      </c>
      <c r="B200" s="89" t="s">
        <v>11</v>
      </c>
      <c r="C200" s="89" t="s">
        <v>38</v>
      </c>
      <c r="D200" s="89" t="s">
        <v>282</v>
      </c>
      <c r="E200" s="89" t="s">
        <v>29</v>
      </c>
      <c r="F200" s="89">
        <v>10</v>
      </c>
      <c r="G200" s="89">
        <v>-450.5</v>
      </c>
      <c r="H200" s="89" t="s">
        <v>30</v>
      </c>
      <c r="I200" s="89" t="s">
        <v>147</v>
      </c>
      <c r="J200" s="89" t="s">
        <v>157</v>
      </c>
      <c r="K200" s="89" t="s">
        <v>198</v>
      </c>
    </row>
    <row r="201" spans="1:11" x14ac:dyDescent="0.45">
      <c r="A201" s="95" t="s">
        <v>37</v>
      </c>
      <c r="B201" s="89" t="s">
        <v>11</v>
      </c>
      <c r="C201" s="89" t="s">
        <v>38</v>
      </c>
      <c r="D201" s="89" t="s">
        <v>194</v>
      </c>
      <c r="E201" s="89" t="s">
        <v>16</v>
      </c>
      <c r="F201" s="89">
        <v>75</v>
      </c>
      <c r="G201" s="89">
        <v>70.5</v>
      </c>
      <c r="H201" s="89" t="s">
        <v>17</v>
      </c>
      <c r="I201" s="89" t="s">
        <v>147</v>
      </c>
      <c r="J201" s="89"/>
      <c r="K201" s="89" t="s">
        <v>174</v>
      </c>
    </row>
    <row r="202" spans="1:11" x14ac:dyDescent="0.45">
      <c r="A202" s="89" t="s">
        <v>40</v>
      </c>
      <c r="B202" s="89" t="s">
        <v>11</v>
      </c>
      <c r="C202" s="89" t="s">
        <v>38</v>
      </c>
      <c r="D202" s="89" t="s">
        <v>237</v>
      </c>
      <c r="E202" s="89" t="s">
        <v>23</v>
      </c>
      <c r="F202" s="89" t="s">
        <v>467</v>
      </c>
      <c r="G202" s="89" t="s">
        <v>388</v>
      </c>
      <c r="H202" s="89" t="s">
        <v>316</v>
      </c>
      <c r="I202" s="89" t="s">
        <v>159</v>
      </c>
      <c r="J202" s="89" t="s">
        <v>157</v>
      </c>
      <c r="K202" s="89"/>
    </row>
    <row r="203" spans="1:11" x14ac:dyDescent="0.45">
      <c r="A203" s="89" t="s">
        <v>52</v>
      </c>
      <c r="B203" s="89" t="s">
        <v>46</v>
      </c>
      <c r="C203" s="89" t="s">
        <v>38</v>
      </c>
      <c r="D203" s="89" t="s">
        <v>192</v>
      </c>
      <c r="E203" s="89" t="s">
        <v>215</v>
      </c>
      <c r="F203" s="89">
        <v>11</v>
      </c>
      <c r="G203" s="89">
        <v>11.11</v>
      </c>
      <c r="H203" s="89" t="s">
        <v>468</v>
      </c>
      <c r="I203" s="89" t="s">
        <v>197</v>
      </c>
      <c r="J203" s="89" t="s">
        <v>160</v>
      </c>
      <c r="K203" s="89"/>
    </row>
    <row r="204" spans="1:11" x14ac:dyDescent="0.45">
      <c r="A204" s="89" t="s">
        <v>54</v>
      </c>
      <c r="B204" s="89" t="s">
        <v>46</v>
      </c>
      <c r="C204" s="89" t="s">
        <v>38</v>
      </c>
      <c r="D204" s="89" t="s">
        <v>20</v>
      </c>
      <c r="E204" s="89" t="s">
        <v>23</v>
      </c>
      <c r="F204" s="89">
        <v>27.5</v>
      </c>
      <c r="G204" s="89" t="s">
        <v>469</v>
      </c>
      <c r="H204" s="89" t="s">
        <v>415</v>
      </c>
      <c r="I204" s="89" t="s">
        <v>221</v>
      </c>
      <c r="J204" s="89" t="s">
        <v>154</v>
      </c>
      <c r="K204" s="89"/>
    </row>
    <row r="205" spans="1:11" x14ac:dyDescent="0.45">
      <c r="A205" s="90" t="s">
        <v>41</v>
      </c>
      <c r="B205" s="89"/>
      <c r="C205" s="89" t="s">
        <v>42</v>
      </c>
      <c r="D205" s="89" t="s">
        <v>20</v>
      </c>
      <c r="E205" s="89" t="s">
        <v>27</v>
      </c>
      <c r="F205" s="89">
        <v>13.5</v>
      </c>
      <c r="G205" s="89" t="s">
        <v>146</v>
      </c>
      <c r="H205" s="89" t="s">
        <v>28</v>
      </c>
      <c r="I205" s="89" t="s">
        <v>221</v>
      </c>
      <c r="J205" s="89" t="s">
        <v>160</v>
      </c>
      <c r="K205" s="89" t="s">
        <v>191</v>
      </c>
    </row>
    <row r="206" spans="1:11" x14ac:dyDescent="0.45">
      <c r="A206" s="89" t="s">
        <v>470</v>
      </c>
      <c r="B206" s="89" t="s">
        <v>471</v>
      </c>
      <c r="C206" s="89"/>
      <c r="D206" s="89" t="s">
        <v>472</v>
      </c>
      <c r="E206" s="89"/>
      <c r="F206" s="91"/>
      <c r="G206" s="89" t="s">
        <v>185</v>
      </c>
      <c r="H206" s="89" t="s">
        <v>473</v>
      </c>
      <c r="I206" s="89"/>
      <c r="J206" s="89"/>
      <c r="K206" s="89"/>
    </row>
    <row r="207" spans="1:11" x14ac:dyDescent="0.45">
      <c r="A207" s="89" t="s">
        <v>53</v>
      </c>
      <c r="B207" s="89" t="s">
        <v>46</v>
      </c>
      <c r="C207" s="89" t="s">
        <v>38</v>
      </c>
      <c r="D207" s="91" t="s">
        <v>388</v>
      </c>
      <c r="E207" s="89" t="s">
        <v>16</v>
      </c>
      <c r="F207" s="89" t="s">
        <v>474</v>
      </c>
      <c r="G207" s="89">
        <v>73.69</v>
      </c>
      <c r="H207" s="89" t="s">
        <v>17</v>
      </c>
      <c r="I207" s="89"/>
      <c r="J207" s="89" t="s">
        <v>157</v>
      </c>
      <c r="K207" s="89" t="s">
        <v>155</v>
      </c>
    </row>
    <row r="208" spans="1:11" x14ac:dyDescent="0.45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</row>
    <row r="209" spans="1:11" x14ac:dyDescent="0.45">
      <c r="A209" s="89" t="s">
        <v>47</v>
      </c>
      <c r="B209" s="89" t="s">
        <v>46</v>
      </c>
      <c r="C209" s="89" t="s">
        <v>12</v>
      </c>
      <c r="D209" s="89" t="s">
        <v>344</v>
      </c>
      <c r="E209" s="89" t="s">
        <v>29</v>
      </c>
      <c r="F209" s="89" t="s">
        <v>361</v>
      </c>
      <c r="G209" s="89" t="s">
        <v>475</v>
      </c>
      <c r="H209" s="89" t="s">
        <v>30</v>
      </c>
      <c r="I209" s="89" t="s">
        <v>221</v>
      </c>
      <c r="J209" s="89" t="s">
        <v>181</v>
      </c>
      <c r="K209" s="91" t="s">
        <v>198</v>
      </c>
    </row>
    <row r="210" spans="1:11" x14ac:dyDescent="0.45">
      <c r="A210" s="89" t="s">
        <v>476</v>
      </c>
      <c r="B210" s="89" t="s">
        <v>46</v>
      </c>
      <c r="C210" s="91" t="s">
        <v>42</v>
      </c>
      <c r="D210" s="89" t="s">
        <v>199</v>
      </c>
      <c r="E210" s="89" t="s">
        <v>27</v>
      </c>
      <c r="F210" s="89">
        <v>15.59</v>
      </c>
      <c r="G210" s="89">
        <v>14.85</v>
      </c>
      <c r="H210" s="89" t="s">
        <v>333</v>
      </c>
      <c r="I210" s="89" t="s">
        <v>147</v>
      </c>
      <c r="J210" s="89" t="s">
        <v>181</v>
      </c>
      <c r="K210" s="89" t="s">
        <v>174</v>
      </c>
    </row>
    <row r="211" spans="1:11" x14ac:dyDescent="0.45">
      <c r="A211" s="89" t="s">
        <v>477</v>
      </c>
      <c r="B211" s="89" t="s">
        <v>11</v>
      </c>
      <c r="C211" s="89" t="s">
        <v>179</v>
      </c>
      <c r="D211" s="89" t="s">
        <v>13</v>
      </c>
      <c r="E211" s="89" t="s">
        <v>478</v>
      </c>
      <c r="F211" s="91">
        <v>100</v>
      </c>
      <c r="G211" s="89">
        <v>101</v>
      </c>
      <c r="H211" s="89" t="s">
        <v>285</v>
      </c>
      <c r="I211" s="89" t="s">
        <v>197</v>
      </c>
      <c r="J211" s="89" t="s">
        <v>164</v>
      </c>
      <c r="K211" s="89" t="s">
        <v>191</v>
      </c>
    </row>
    <row r="212" spans="1:11" x14ac:dyDescent="0.45">
      <c r="A212" s="89" t="s">
        <v>41</v>
      </c>
      <c r="B212" s="89" t="s">
        <v>11</v>
      </c>
      <c r="C212" s="89" t="s">
        <v>42</v>
      </c>
      <c r="D212" s="89" t="s">
        <v>13</v>
      </c>
      <c r="E212" s="89" t="s">
        <v>16</v>
      </c>
      <c r="F212" s="89">
        <v>67.5</v>
      </c>
      <c r="G212" s="89">
        <v>62.1</v>
      </c>
      <c r="H212" s="89" t="s">
        <v>301</v>
      </c>
      <c r="I212" s="89" t="s">
        <v>197</v>
      </c>
      <c r="J212" s="89" t="s">
        <v>154</v>
      </c>
      <c r="K212" s="89" t="s">
        <v>174</v>
      </c>
    </row>
    <row r="213" spans="1:11" x14ac:dyDescent="0.45">
      <c r="A213" s="91" t="s">
        <v>36</v>
      </c>
      <c r="B213" s="89" t="s">
        <v>11</v>
      </c>
      <c r="C213" s="89" t="s">
        <v>34</v>
      </c>
      <c r="D213" s="89" t="s">
        <v>20</v>
      </c>
      <c r="E213" s="89" t="s">
        <v>246</v>
      </c>
      <c r="F213" s="89" t="s">
        <v>479</v>
      </c>
      <c r="G213" s="89">
        <v>8</v>
      </c>
      <c r="H213" s="89" t="s">
        <v>163</v>
      </c>
      <c r="I213" s="89" t="s">
        <v>147</v>
      </c>
      <c r="J213" s="89" t="s">
        <v>148</v>
      </c>
      <c r="K213" s="89" t="s">
        <v>149</v>
      </c>
    </row>
    <row r="214" spans="1:11" x14ac:dyDescent="0.45">
      <c r="A214" s="89" t="s">
        <v>480</v>
      </c>
      <c r="B214" s="90" t="s">
        <v>481</v>
      </c>
      <c r="C214" s="89"/>
      <c r="D214" s="89" t="s">
        <v>398</v>
      </c>
      <c r="E214" s="89" t="s">
        <v>482</v>
      </c>
      <c r="F214" s="89">
        <v>765</v>
      </c>
      <c r="G214" s="89">
        <v>662</v>
      </c>
      <c r="H214" s="89" t="s">
        <v>483</v>
      </c>
      <c r="I214" s="89"/>
      <c r="J214" s="89"/>
      <c r="K214" s="89"/>
    </row>
    <row r="215" spans="1:11" x14ac:dyDescent="0.45">
      <c r="A215" s="90" t="s">
        <v>48</v>
      </c>
      <c r="B215" s="95" t="s">
        <v>259</v>
      </c>
      <c r="C215" s="89" t="s">
        <v>12</v>
      </c>
      <c r="D215" s="89" t="s">
        <v>202</v>
      </c>
      <c r="E215" s="89" t="s">
        <v>484</v>
      </c>
      <c r="F215" s="89">
        <v>53.9</v>
      </c>
      <c r="G215" s="89">
        <v>47.43</v>
      </c>
      <c r="H215" s="89" t="s">
        <v>388</v>
      </c>
      <c r="I215" s="89" t="s">
        <v>221</v>
      </c>
      <c r="J215" s="89" t="s">
        <v>157</v>
      </c>
      <c r="K215" s="89"/>
    </row>
    <row r="216" spans="1:11" x14ac:dyDescent="0.45">
      <c r="A216" s="92" t="s">
        <v>145</v>
      </c>
      <c r="B216" s="89"/>
      <c r="C216" s="89"/>
      <c r="D216" s="89"/>
      <c r="E216" s="89"/>
      <c r="F216" s="89"/>
      <c r="G216" s="89"/>
      <c r="H216" s="89"/>
      <c r="I216" s="89"/>
      <c r="J216" s="89"/>
      <c r="K216" s="89"/>
    </row>
    <row r="217" spans="1:11" x14ac:dyDescent="0.45">
      <c r="A217" s="90" t="s">
        <v>45</v>
      </c>
      <c r="B217" s="89" t="s">
        <v>46</v>
      </c>
      <c r="C217" s="89" t="s">
        <v>12</v>
      </c>
      <c r="D217" s="89" t="s">
        <v>13</v>
      </c>
      <c r="E217" s="89" t="s">
        <v>14</v>
      </c>
      <c r="F217" s="89">
        <v>96.6</v>
      </c>
      <c r="G217" s="89">
        <v>99.5</v>
      </c>
      <c r="H217" s="89" t="s">
        <v>230</v>
      </c>
      <c r="I217" s="89" t="s">
        <v>156</v>
      </c>
      <c r="J217" s="89" t="s">
        <v>148</v>
      </c>
      <c r="K217" s="89" t="s">
        <v>198</v>
      </c>
    </row>
    <row r="218" spans="1:11" x14ac:dyDescent="0.45">
      <c r="A218" s="89" t="s">
        <v>485</v>
      </c>
      <c r="B218" s="89" t="s">
        <v>11</v>
      </c>
      <c r="C218" s="89" t="s">
        <v>38</v>
      </c>
      <c r="D218" s="91" t="s">
        <v>310</v>
      </c>
      <c r="E218" s="89" t="s">
        <v>152</v>
      </c>
      <c r="F218" s="89" t="s">
        <v>486</v>
      </c>
      <c r="G218" s="90">
        <v>76.72</v>
      </c>
      <c r="H218" s="91" t="s">
        <v>17</v>
      </c>
      <c r="I218" s="89" t="s">
        <v>156</v>
      </c>
      <c r="J218" s="89" t="s">
        <v>148</v>
      </c>
      <c r="K218" s="89" t="s">
        <v>212</v>
      </c>
    </row>
    <row r="219" spans="1:11" x14ac:dyDescent="0.45">
      <c r="A219" s="89" t="s">
        <v>487</v>
      </c>
      <c r="B219" s="89" t="s">
        <v>46</v>
      </c>
      <c r="C219" s="89" t="s">
        <v>34</v>
      </c>
      <c r="D219" s="89" t="s">
        <v>166</v>
      </c>
      <c r="E219" s="89" t="s">
        <v>356</v>
      </c>
      <c r="F219" s="89">
        <v>96.8</v>
      </c>
      <c r="G219" s="89" t="s">
        <v>488</v>
      </c>
      <c r="H219" s="89" t="s">
        <v>168</v>
      </c>
      <c r="I219" s="89" t="s">
        <v>159</v>
      </c>
      <c r="J219" s="89"/>
      <c r="K219" s="89"/>
    </row>
    <row r="220" spans="1:11" x14ac:dyDescent="0.45">
      <c r="A220" s="89" t="s">
        <v>47</v>
      </c>
      <c r="B220" s="89" t="s">
        <v>46</v>
      </c>
      <c r="C220" s="89" t="s">
        <v>12</v>
      </c>
      <c r="D220" s="89" t="s">
        <v>229</v>
      </c>
      <c r="E220" s="89" t="s">
        <v>18</v>
      </c>
      <c r="F220" s="89">
        <v>42</v>
      </c>
      <c r="G220" s="89">
        <v>45.78</v>
      </c>
      <c r="H220" s="89" t="s">
        <v>19</v>
      </c>
      <c r="I220" s="89" t="s">
        <v>169</v>
      </c>
      <c r="J220" s="89"/>
      <c r="K220" s="89" t="s">
        <v>212</v>
      </c>
    </row>
    <row r="221" spans="1:11" x14ac:dyDescent="0.45">
      <c r="A221" s="89" t="s">
        <v>43</v>
      </c>
      <c r="B221" s="89" t="s">
        <v>11</v>
      </c>
      <c r="C221" s="89" t="s">
        <v>42</v>
      </c>
      <c r="D221" s="89" t="s">
        <v>20</v>
      </c>
      <c r="E221" s="89" t="s">
        <v>225</v>
      </c>
      <c r="F221" s="89" t="s">
        <v>489</v>
      </c>
      <c r="G221" s="89">
        <v>94.5</v>
      </c>
      <c r="H221" s="89" t="s">
        <v>22</v>
      </c>
      <c r="I221" s="89" t="s">
        <v>156</v>
      </c>
      <c r="J221" s="89" t="s">
        <v>157</v>
      </c>
      <c r="K221" s="89" t="s">
        <v>191</v>
      </c>
    </row>
    <row r="222" spans="1:11" x14ac:dyDescent="0.45">
      <c r="A222" s="89" t="s">
        <v>32</v>
      </c>
      <c r="B222" s="89" t="s">
        <v>271</v>
      </c>
      <c r="C222" s="91" t="s">
        <v>372</v>
      </c>
      <c r="D222" s="89" t="s">
        <v>13</v>
      </c>
      <c r="E222" s="89" t="s">
        <v>16</v>
      </c>
      <c r="F222" s="89">
        <v>52.5</v>
      </c>
      <c r="G222" s="89">
        <v>49.35</v>
      </c>
      <c r="H222" s="89" t="s">
        <v>17</v>
      </c>
      <c r="I222" s="89"/>
      <c r="J222" s="89" t="s">
        <v>157</v>
      </c>
      <c r="K222" s="89" t="s">
        <v>155</v>
      </c>
    </row>
    <row r="223" spans="1:11" x14ac:dyDescent="0.45">
      <c r="A223" s="89" t="s">
        <v>490</v>
      </c>
      <c r="B223" s="89" t="s">
        <v>46</v>
      </c>
      <c r="C223" s="89" t="s">
        <v>12</v>
      </c>
      <c r="D223" s="89" t="s">
        <v>13</v>
      </c>
      <c r="E223" s="89" t="s">
        <v>18</v>
      </c>
      <c r="F223" s="89" t="s">
        <v>361</v>
      </c>
      <c r="G223" s="91" t="s">
        <v>491</v>
      </c>
      <c r="H223" s="89" t="s">
        <v>19</v>
      </c>
      <c r="I223" s="89"/>
      <c r="J223" s="89" t="s">
        <v>160</v>
      </c>
      <c r="K223" s="89" t="s">
        <v>198</v>
      </c>
    </row>
    <row r="224" spans="1:11" x14ac:dyDescent="0.45">
      <c r="A224" s="89" t="s">
        <v>40</v>
      </c>
      <c r="B224" s="89" t="s">
        <v>11</v>
      </c>
      <c r="C224" s="89" t="s">
        <v>38</v>
      </c>
      <c r="D224" s="89" t="s">
        <v>185</v>
      </c>
      <c r="E224" s="89" t="s">
        <v>242</v>
      </c>
      <c r="F224" s="89">
        <v>50</v>
      </c>
      <c r="G224" s="89">
        <v>54</v>
      </c>
      <c r="H224" s="89" t="s">
        <v>19</v>
      </c>
      <c r="I224" s="89" t="s">
        <v>159</v>
      </c>
      <c r="J224" s="89" t="s">
        <v>181</v>
      </c>
      <c r="K224" s="89" t="s">
        <v>155</v>
      </c>
    </row>
    <row r="225" spans="1:11" x14ac:dyDescent="0.45">
      <c r="A225" s="91" t="s">
        <v>492</v>
      </c>
      <c r="B225" s="89" t="s">
        <v>46</v>
      </c>
      <c r="C225" s="89" t="s">
        <v>34</v>
      </c>
      <c r="D225" s="89" t="s">
        <v>20</v>
      </c>
      <c r="E225" s="89" t="s">
        <v>27</v>
      </c>
      <c r="F225" s="89">
        <v>13.2</v>
      </c>
      <c r="G225" s="89">
        <v>13.86</v>
      </c>
      <c r="H225" s="89" t="s">
        <v>28</v>
      </c>
      <c r="I225" s="89" t="s">
        <v>156</v>
      </c>
      <c r="J225" s="89" t="s">
        <v>148</v>
      </c>
      <c r="K225" s="89" t="s">
        <v>212</v>
      </c>
    </row>
    <row r="226" spans="1:11" x14ac:dyDescent="0.45">
      <c r="A226" s="89" t="s">
        <v>493</v>
      </c>
      <c r="B226" s="89" t="s">
        <v>259</v>
      </c>
      <c r="C226" s="89" t="s">
        <v>12</v>
      </c>
      <c r="D226" s="91" t="s">
        <v>20</v>
      </c>
      <c r="E226" s="89" t="s">
        <v>25</v>
      </c>
      <c r="F226" s="91">
        <v>15.75</v>
      </c>
      <c r="G226" s="89">
        <v>17.329999999999998</v>
      </c>
      <c r="H226" s="89" t="s">
        <v>26</v>
      </c>
      <c r="I226" s="89" t="s">
        <v>159</v>
      </c>
      <c r="J226" s="89" t="s">
        <v>148</v>
      </c>
      <c r="K226" s="89" t="s">
        <v>174</v>
      </c>
    </row>
    <row r="229" spans="1:11" x14ac:dyDescent="0.45">
      <c r="A229" s="8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5"/>
  <sheetViews>
    <sheetView zoomScaleNormal="100" workbookViewId="0">
      <pane ySplit="3" topLeftCell="A4" activePane="bottomLeft" state="frozen"/>
      <selection pane="bottomLeft" activeCell="J3" sqref="J3"/>
    </sheetView>
  </sheetViews>
  <sheetFormatPr defaultColWidth="8.6640625" defaultRowHeight="14.25" x14ac:dyDescent="0.45"/>
  <cols>
    <col min="1" max="1" width="10" customWidth="1"/>
    <col min="2" max="2" width="7" customWidth="1"/>
    <col min="3" max="3" width="9" customWidth="1"/>
    <col min="4" max="4" width="10" customWidth="1"/>
    <col min="5" max="5" width="16" customWidth="1"/>
    <col min="6" max="6" width="16.53125" bestFit="1" customWidth="1"/>
    <col min="7" max="7" width="14.1328125" bestFit="1" customWidth="1"/>
    <col min="8" max="8" width="62.06640625" bestFit="1" customWidth="1"/>
  </cols>
  <sheetData>
    <row r="1" spans="1:8" ht="24" customHeight="1" x14ac:dyDescent="0.45">
      <c r="A1" s="77" t="s">
        <v>0</v>
      </c>
      <c r="B1" s="77"/>
      <c r="C1" s="77"/>
      <c r="D1" s="77"/>
      <c r="E1" s="77"/>
      <c r="F1" s="77"/>
      <c r="G1" s="77"/>
      <c r="H1" s="77"/>
    </row>
    <row r="2" spans="1:8" ht="15" customHeight="1" x14ac:dyDescent="0.45">
      <c r="A2" s="78" t="s">
        <v>1</v>
      </c>
      <c r="B2" s="78"/>
      <c r="C2" s="78"/>
      <c r="D2" s="78"/>
      <c r="E2" s="78"/>
      <c r="F2" s="78"/>
      <c r="G2" s="78"/>
      <c r="H2" s="78"/>
    </row>
    <row r="3" spans="1:8" ht="18" customHeight="1" x14ac:dyDescent="0.4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96" t="s">
        <v>496</v>
      </c>
      <c r="G3" s="96" t="s">
        <v>497</v>
      </c>
      <c r="H3" s="6" t="s">
        <v>9</v>
      </c>
    </row>
    <row r="4" spans="1:8" ht="15" customHeight="1" x14ac:dyDescent="0.45">
      <c r="A4" s="7" t="s">
        <v>10</v>
      </c>
      <c r="B4" s="7" t="s">
        <v>11</v>
      </c>
      <c r="C4" s="7" t="s">
        <v>12</v>
      </c>
      <c r="D4" s="7" t="s">
        <v>13</v>
      </c>
      <c r="E4" s="7" t="s">
        <v>14</v>
      </c>
      <c r="F4" s="8">
        <v>87.5</v>
      </c>
      <c r="G4" s="8">
        <v>89.25</v>
      </c>
      <c r="H4" s="9" t="s">
        <v>15</v>
      </c>
    </row>
    <row r="5" spans="1:8" ht="15" customHeight="1" x14ac:dyDescent="0.45">
      <c r="A5" s="10" t="s">
        <v>10</v>
      </c>
      <c r="B5" s="10" t="s">
        <v>11</v>
      </c>
      <c r="C5" s="10" t="s">
        <v>12</v>
      </c>
      <c r="D5" s="10" t="s">
        <v>13</v>
      </c>
      <c r="E5" s="10" t="s">
        <v>16</v>
      </c>
      <c r="F5" s="11">
        <v>52.5</v>
      </c>
      <c r="G5" s="11">
        <v>50.4</v>
      </c>
      <c r="H5" s="12" t="s">
        <v>17</v>
      </c>
    </row>
    <row r="6" spans="1:8" ht="15" customHeight="1" x14ac:dyDescent="0.45">
      <c r="A6" s="7" t="s">
        <v>10</v>
      </c>
      <c r="B6" s="7" t="s">
        <v>11</v>
      </c>
      <c r="C6" s="7" t="s">
        <v>12</v>
      </c>
      <c r="D6" s="7" t="s">
        <v>13</v>
      </c>
      <c r="E6" s="7" t="s">
        <v>18</v>
      </c>
      <c r="F6" s="8">
        <v>35</v>
      </c>
      <c r="G6" s="8">
        <v>36.4</v>
      </c>
      <c r="H6" s="9" t="s">
        <v>19</v>
      </c>
    </row>
    <row r="7" spans="1:8" ht="15" customHeight="1" x14ac:dyDescent="0.45">
      <c r="A7" s="10" t="s">
        <v>10</v>
      </c>
      <c r="B7" s="10" t="s">
        <v>11</v>
      </c>
      <c r="C7" s="10" t="s">
        <v>12</v>
      </c>
      <c r="D7" s="10" t="s">
        <v>20</v>
      </c>
      <c r="E7" s="10" t="s">
        <v>21</v>
      </c>
      <c r="F7" s="11">
        <v>78.75</v>
      </c>
      <c r="G7" s="11">
        <v>80.33</v>
      </c>
      <c r="H7" s="12" t="s">
        <v>22</v>
      </c>
    </row>
    <row r="8" spans="1:8" ht="15" customHeight="1" x14ac:dyDescent="0.45">
      <c r="A8" s="7" t="s">
        <v>10</v>
      </c>
      <c r="B8" s="7" t="s">
        <v>11</v>
      </c>
      <c r="C8" s="7" t="s">
        <v>12</v>
      </c>
      <c r="D8" s="7" t="s">
        <v>20</v>
      </c>
      <c r="E8" s="7" t="s">
        <v>23</v>
      </c>
      <c r="F8" s="8">
        <v>17.5</v>
      </c>
      <c r="G8" s="8">
        <v>17.68</v>
      </c>
      <c r="H8" s="9" t="s">
        <v>24</v>
      </c>
    </row>
    <row r="9" spans="1:8" ht="15" customHeight="1" x14ac:dyDescent="0.45">
      <c r="A9" s="10" t="s">
        <v>10</v>
      </c>
      <c r="B9" s="10" t="s">
        <v>11</v>
      </c>
      <c r="C9" s="10" t="s">
        <v>12</v>
      </c>
      <c r="D9" s="10" t="s">
        <v>20</v>
      </c>
      <c r="E9" s="10" t="s">
        <v>25</v>
      </c>
      <c r="F9" s="11">
        <v>14</v>
      </c>
      <c r="G9" s="11">
        <v>14.42</v>
      </c>
      <c r="H9" s="12" t="s">
        <v>26</v>
      </c>
    </row>
    <row r="10" spans="1:8" ht="15" customHeight="1" x14ac:dyDescent="0.45">
      <c r="A10" s="7" t="s">
        <v>10</v>
      </c>
      <c r="B10" s="7" t="s">
        <v>11</v>
      </c>
      <c r="C10" s="7" t="s">
        <v>12</v>
      </c>
      <c r="D10" s="7" t="s">
        <v>20</v>
      </c>
      <c r="E10" s="7" t="s">
        <v>27</v>
      </c>
      <c r="F10" s="8">
        <v>10.5</v>
      </c>
      <c r="G10" s="8">
        <v>10.71</v>
      </c>
      <c r="H10" s="9" t="s">
        <v>28</v>
      </c>
    </row>
    <row r="11" spans="1:8" ht="15" customHeight="1" x14ac:dyDescent="0.45">
      <c r="A11" s="10" t="s">
        <v>10</v>
      </c>
      <c r="B11" s="10" t="s">
        <v>11</v>
      </c>
      <c r="C11" s="10" t="s">
        <v>12</v>
      </c>
      <c r="D11" s="10" t="s">
        <v>20</v>
      </c>
      <c r="E11" s="10" t="s">
        <v>29</v>
      </c>
      <c r="F11" s="11">
        <v>7</v>
      </c>
      <c r="G11" s="11">
        <v>7.07</v>
      </c>
      <c r="H11" s="12" t="s">
        <v>30</v>
      </c>
    </row>
    <row r="12" spans="1:8" ht="15" customHeight="1" x14ac:dyDescent="0.45">
      <c r="A12" s="7" t="s">
        <v>31</v>
      </c>
      <c r="B12" s="7" t="s">
        <v>11</v>
      </c>
      <c r="C12" s="7" t="s">
        <v>12</v>
      </c>
      <c r="D12" s="7" t="s">
        <v>13</v>
      </c>
      <c r="E12" s="7" t="s">
        <v>14</v>
      </c>
      <c r="F12" s="8">
        <v>87.5</v>
      </c>
      <c r="G12" s="8">
        <v>88.38</v>
      </c>
      <c r="H12" s="9" t="s">
        <v>15</v>
      </c>
    </row>
    <row r="13" spans="1:8" ht="15" customHeight="1" x14ac:dyDescent="0.45">
      <c r="A13" s="10" t="s">
        <v>31</v>
      </c>
      <c r="B13" s="10" t="s">
        <v>11</v>
      </c>
      <c r="C13" s="10" t="s">
        <v>12</v>
      </c>
      <c r="D13" s="10" t="s">
        <v>13</v>
      </c>
      <c r="E13" s="10" t="s">
        <v>16</v>
      </c>
      <c r="F13" s="11">
        <v>52.5</v>
      </c>
      <c r="G13" s="11">
        <v>49.88</v>
      </c>
      <c r="H13" s="12" t="s">
        <v>17</v>
      </c>
    </row>
    <row r="14" spans="1:8" ht="15" customHeight="1" x14ac:dyDescent="0.45">
      <c r="A14" s="7" t="s">
        <v>31</v>
      </c>
      <c r="B14" s="7" t="s">
        <v>11</v>
      </c>
      <c r="C14" s="7" t="s">
        <v>12</v>
      </c>
      <c r="D14" s="7" t="s">
        <v>13</v>
      </c>
      <c r="E14" s="7" t="s">
        <v>18</v>
      </c>
      <c r="F14" s="8">
        <v>35</v>
      </c>
      <c r="G14" s="8">
        <v>36.75</v>
      </c>
      <c r="H14" s="9" t="s">
        <v>19</v>
      </c>
    </row>
    <row r="15" spans="1:8" ht="15" customHeight="1" x14ac:dyDescent="0.45">
      <c r="A15" s="10" t="s">
        <v>31</v>
      </c>
      <c r="B15" s="10" t="s">
        <v>11</v>
      </c>
      <c r="C15" s="10" t="s">
        <v>12</v>
      </c>
      <c r="D15" s="10" t="s">
        <v>20</v>
      </c>
      <c r="E15" s="10" t="s">
        <v>21</v>
      </c>
      <c r="F15" s="11">
        <v>78.75</v>
      </c>
      <c r="G15" s="11">
        <v>81.11</v>
      </c>
      <c r="H15" s="12" t="s">
        <v>22</v>
      </c>
    </row>
    <row r="16" spans="1:8" ht="15" customHeight="1" x14ac:dyDescent="0.45">
      <c r="A16" s="7" t="s">
        <v>31</v>
      </c>
      <c r="B16" s="7" t="s">
        <v>11</v>
      </c>
      <c r="C16" s="7" t="s">
        <v>12</v>
      </c>
      <c r="D16" s="7" t="s">
        <v>20</v>
      </c>
      <c r="E16" s="7" t="s">
        <v>23</v>
      </c>
      <c r="F16" s="8">
        <v>17.5</v>
      </c>
      <c r="G16" s="8">
        <v>17.32</v>
      </c>
      <c r="H16" s="9" t="s">
        <v>24</v>
      </c>
    </row>
    <row r="17" spans="1:8" ht="15" customHeight="1" x14ac:dyDescent="0.45">
      <c r="A17" s="10" t="s">
        <v>31</v>
      </c>
      <c r="B17" s="10" t="s">
        <v>11</v>
      </c>
      <c r="C17" s="10" t="s">
        <v>12</v>
      </c>
      <c r="D17" s="10" t="s">
        <v>20</v>
      </c>
      <c r="E17" s="10" t="s">
        <v>25</v>
      </c>
      <c r="F17" s="11">
        <v>14</v>
      </c>
      <c r="G17" s="11">
        <v>14.28</v>
      </c>
      <c r="H17" s="12" t="s">
        <v>26</v>
      </c>
    </row>
    <row r="18" spans="1:8" ht="15" customHeight="1" x14ac:dyDescent="0.45">
      <c r="A18" s="7" t="s">
        <v>31</v>
      </c>
      <c r="B18" s="7" t="s">
        <v>11</v>
      </c>
      <c r="C18" s="7" t="s">
        <v>12</v>
      </c>
      <c r="D18" s="7" t="s">
        <v>20</v>
      </c>
      <c r="E18" s="7" t="s">
        <v>27</v>
      </c>
      <c r="F18" s="8">
        <v>10.5</v>
      </c>
      <c r="G18" s="8">
        <v>10.81</v>
      </c>
      <c r="H18" s="9" t="s">
        <v>28</v>
      </c>
    </row>
    <row r="19" spans="1:8" ht="15" customHeight="1" x14ac:dyDescent="0.45">
      <c r="A19" s="10" t="s">
        <v>31</v>
      </c>
      <c r="B19" s="10" t="s">
        <v>11</v>
      </c>
      <c r="C19" s="10" t="s">
        <v>12</v>
      </c>
      <c r="D19" s="10" t="s">
        <v>20</v>
      </c>
      <c r="E19" s="10" t="s">
        <v>29</v>
      </c>
      <c r="F19" s="11">
        <v>7</v>
      </c>
      <c r="G19" s="11">
        <v>7</v>
      </c>
      <c r="H19" s="12" t="s">
        <v>30</v>
      </c>
    </row>
    <row r="20" spans="1:8" ht="15" customHeight="1" x14ac:dyDescent="0.45">
      <c r="A20" s="7" t="s">
        <v>32</v>
      </c>
      <c r="B20" s="7" t="s">
        <v>11</v>
      </c>
      <c r="C20" s="7" t="s">
        <v>12</v>
      </c>
      <c r="D20" s="7" t="s">
        <v>13</v>
      </c>
      <c r="E20" s="7" t="s">
        <v>14</v>
      </c>
      <c r="F20" s="8">
        <v>87.5</v>
      </c>
      <c r="G20" s="8">
        <v>90.12</v>
      </c>
      <c r="H20" s="9" t="s">
        <v>15</v>
      </c>
    </row>
    <row r="21" spans="1:8" ht="15" customHeight="1" x14ac:dyDescent="0.45">
      <c r="A21" s="10" t="s">
        <v>32</v>
      </c>
      <c r="B21" s="10" t="s">
        <v>11</v>
      </c>
      <c r="C21" s="10" t="s">
        <v>12</v>
      </c>
      <c r="D21" s="10" t="s">
        <v>13</v>
      </c>
      <c r="E21" s="10" t="s">
        <v>16</v>
      </c>
      <c r="F21" s="11">
        <v>52.5</v>
      </c>
      <c r="G21" s="11">
        <v>49.35</v>
      </c>
      <c r="H21" s="12" t="s">
        <v>17</v>
      </c>
    </row>
    <row r="22" spans="1:8" ht="15" customHeight="1" x14ac:dyDescent="0.45">
      <c r="A22" s="7" t="s">
        <v>32</v>
      </c>
      <c r="B22" s="7" t="s">
        <v>11</v>
      </c>
      <c r="C22" s="7" t="s">
        <v>12</v>
      </c>
      <c r="D22" s="7" t="s">
        <v>13</v>
      </c>
      <c r="E22" s="7" t="s">
        <v>18</v>
      </c>
      <c r="F22" s="8">
        <v>35</v>
      </c>
      <c r="G22" s="8">
        <v>37.1</v>
      </c>
      <c r="H22" s="9" t="s">
        <v>19</v>
      </c>
    </row>
    <row r="23" spans="1:8" ht="15" customHeight="1" x14ac:dyDescent="0.45">
      <c r="A23" s="10" t="s">
        <v>32</v>
      </c>
      <c r="B23" s="10" t="s">
        <v>11</v>
      </c>
      <c r="C23" s="10" t="s">
        <v>12</v>
      </c>
      <c r="D23" s="10" t="s">
        <v>20</v>
      </c>
      <c r="E23" s="10" t="s">
        <v>21</v>
      </c>
      <c r="F23" s="11">
        <v>78.75</v>
      </c>
      <c r="G23" s="11">
        <v>80.33</v>
      </c>
      <c r="H23" s="12" t="s">
        <v>22</v>
      </c>
    </row>
    <row r="24" spans="1:8" ht="15" customHeight="1" x14ac:dyDescent="0.45">
      <c r="A24" s="7" t="s">
        <v>32</v>
      </c>
      <c r="B24" s="7" t="s">
        <v>11</v>
      </c>
      <c r="C24" s="7" t="s">
        <v>12</v>
      </c>
      <c r="D24" s="7" t="s">
        <v>20</v>
      </c>
      <c r="E24" s="7" t="s">
        <v>23</v>
      </c>
      <c r="F24" s="8">
        <v>17.5</v>
      </c>
      <c r="G24" s="8">
        <v>17.850000000000001</v>
      </c>
      <c r="H24" s="9" t="s">
        <v>24</v>
      </c>
    </row>
    <row r="25" spans="1:8" ht="15" customHeight="1" x14ac:dyDescent="0.45">
      <c r="A25" s="10" t="s">
        <v>32</v>
      </c>
      <c r="B25" s="10" t="s">
        <v>11</v>
      </c>
      <c r="C25" s="10" t="s">
        <v>12</v>
      </c>
      <c r="D25" s="10" t="s">
        <v>20</v>
      </c>
      <c r="E25" s="10" t="s">
        <v>25</v>
      </c>
      <c r="F25" s="11">
        <v>14</v>
      </c>
      <c r="G25" s="11">
        <v>14.56</v>
      </c>
      <c r="H25" s="12" t="s">
        <v>26</v>
      </c>
    </row>
    <row r="26" spans="1:8" ht="15" customHeight="1" x14ac:dyDescent="0.45">
      <c r="A26" s="7" t="s">
        <v>32</v>
      </c>
      <c r="B26" s="7" t="s">
        <v>11</v>
      </c>
      <c r="C26" s="7" t="s">
        <v>12</v>
      </c>
      <c r="D26" s="7" t="s">
        <v>20</v>
      </c>
      <c r="E26" s="7" t="s">
        <v>27</v>
      </c>
      <c r="F26" s="8">
        <v>10.5</v>
      </c>
      <c r="G26" s="8">
        <v>10.71</v>
      </c>
      <c r="H26" s="9" t="s">
        <v>28</v>
      </c>
    </row>
    <row r="27" spans="1:8" ht="15" customHeight="1" x14ac:dyDescent="0.45">
      <c r="A27" s="10" t="s">
        <v>32</v>
      </c>
      <c r="B27" s="10" t="s">
        <v>11</v>
      </c>
      <c r="C27" s="10" t="s">
        <v>12</v>
      </c>
      <c r="D27" s="10" t="s">
        <v>20</v>
      </c>
      <c r="E27" s="10" t="s">
        <v>29</v>
      </c>
      <c r="F27" s="11">
        <v>7</v>
      </c>
      <c r="G27" s="11">
        <v>7.07</v>
      </c>
      <c r="H27" s="12" t="s">
        <v>30</v>
      </c>
    </row>
    <row r="28" spans="1:8" ht="15" customHeight="1" x14ac:dyDescent="0.45">
      <c r="A28" s="7" t="s">
        <v>33</v>
      </c>
      <c r="B28" s="7" t="s">
        <v>11</v>
      </c>
      <c r="C28" s="7" t="s">
        <v>34</v>
      </c>
      <c r="D28" s="7" t="s">
        <v>13</v>
      </c>
      <c r="E28" s="7" t="s">
        <v>14</v>
      </c>
      <c r="F28" s="8">
        <v>100</v>
      </c>
      <c r="G28" s="8">
        <v>102</v>
      </c>
      <c r="H28" s="9" t="s">
        <v>15</v>
      </c>
    </row>
    <row r="29" spans="1:8" ht="15" customHeight="1" x14ac:dyDescent="0.45">
      <c r="A29" s="10" t="s">
        <v>33</v>
      </c>
      <c r="B29" s="10" t="s">
        <v>11</v>
      </c>
      <c r="C29" s="10" t="s">
        <v>34</v>
      </c>
      <c r="D29" s="10" t="s">
        <v>13</v>
      </c>
      <c r="E29" s="10" t="s">
        <v>16</v>
      </c>
      <c r="F29" s="11">
        <v>60</v>
      </c>
      <c r="G29" s="11">
        <v>57</v>
      </c>
      <c r="H29" s="12" t="s">
        <v>17</v>
      </c>
    </row>
    <row r="30" spans="1:8" ht="15" customHeight="1" x14ac:dyDescent="0.45">
      <c r="A30" s="7" t="s">
        <v>33</v>
      </c>
      <c r="B30" s="7" t="s">
        <v>11</v>
      </c>
      <c r="C30" s="7" t="s">
        <v>34</v>
      </c>
      <c r="D30" s="7" t="s">
        <v>13</v>
      </c>
      <c r="E30" s="7" t="s">
        <v>18</v>
      </c>
      <c r="F30" s="8">
        <v>40</v>
      </c>
      <c r="G30" s="8">
        <v>42.8</v>
      </c>
      <c r="H30" s="9" t="s">
        <v>19</v>
      </c>
    </row>
    <row r="31" spans="1:8" ht="15" customHeight="1" x14ac:dyDescent="0.45">
      <c r="A31" s="10" t="s">
        <v>33</v>
      </c>
      <c r="B31" s="10" t="s">
        <v>11</v>
      </c>
      <c r="C31" s="10" t="s">
        <v>34</v>
      </c>
      <c r="D31" s="10" t="s">
        <v>20</v>
      </c>
      <c r="E31" s="10" t="s">
        <v>21</v>
      </c>
      <c r="F31" s="11">
        <v>90</v>
      </c>
      <c r="G31" s="11">
        <v>93.6</v>
      </c>
      <c r="H31" s="12" t="s">
        <v>22</v>
      </c>
    </row>
    <row r="32" spans="1:8" ht="15" customHeight="1" x14ac:dyDescent="0.45">
      <c r="A32" s="7" t="s">
        <v>33</v>
      </c>
      <c r="B32" s="7" t="s">
        <v>11</v>
      </c>
      <c r="C32" s="7" t="s">
        <v>34</v>
      </c>
      <c r="D32" s="7" t="s">
        <v>20</v>
      </c>
      <c r="E32" s="7" t="s">
        <v>23</v>
      </c>
      <c r="F32" s="8">
        <v>20</v>
      </c>
      <c r="G32" s="8">
        <v>20.2</v>
      </c>
      <c r="H32" s="9" t="s">
        <v>24</v>
      </c>
    </row>
    <row r="33" spans="1:8" ht="15" customHeight="1" x14ac:dyDescent="0.45">
      <c r="A33" s="10" t="s">
        <v>33</v>
      </c>
      <c r="B33" s="10" t="s">
        <v>11</v>
      </c>
      <c r="C33" s="10" t="s">
        <v>34</v>
      </c>
      <c r="D33" s="10" t="s">
        <v>20</v>
      </c>
      <c r="E33" s="10" t="s">
        <v>25</v>
      </c>
      <c r="F33" s="11">
        <v>16</v>
      </c>
      <c r="G33" s="11">
        <v>16.48</v>
      </c>
      <c r="H33" s="12" t="s">
        <v>26</v>
      </c>
    </row>
    <row r="34" spans="1:8" ht="15" customHeight="1" x14ac:dyDescent="0.45">
      <c r="A34" s="7" t="s">
        <v>33</v>
      </c>
      <c r="B34" s="7" t="s">
        <v>11</v>
      </c>
      <c r="C34" s="7" t="s">
        <v>34</v>
      </c>
      <c r="D34" s="7" t="s">
        <v>20</v>
      </c>
      <c r="E34" s="7" t="s">
        <v>27</v>
      </c>
      <c r="F34" s="8">
        <v>12</v>
      </c>
      <c r="G34" s="8">
        <v>12.48</v>
      </c>
      <c r="H34" s="9" t="s">
        <v>28</v>
      </c>
    </row>
    <row r="35" spans="1:8" ht="15" customHeight="1" x14ac:dyDescent="0.45">
      <c r="A35" s="10" t="s">
        <v>33</v>
      </c>
      <c r="B35" s="10" t="s">
        <v>11</v>
      </c>
      <c r="C35" s="10" t="s">
        <v>34</v>
      </c>
      <c r="D35" s="10" t="s">
        <v>20</v>
      </c>
      <c r="E35" s="10" t="s">
        <v>29</v>
      </c>
      <c r="F35" s="11">
        <v>8</v>
      </c>
      <c r="G35" s="11">
        <v>8.16</v>
      </c>
      <c r="H35" s="12" t="s">
        <v>30</v>
      </c>
    </row>
    <row r="36" spans="1:8" ht="15" customHeight="1" x14ac:dyDescent="0.45">
      <c r="A36" s="7" t="s">
        <v>35</v>
      </c>
      <c r="B36" s="7" t="s">
        <v>11</v>
      </c>
      <c r="C36" s="7" t="s">
        <v>34</v>
      </c>
      <c r="D36" s="7" t="s">
        <v>13</v>
      </c>
      <c r="E36" s="7" t="s">
        <v>14</v>
      </c>
      <c r="F36" s="8">
        <v>100</v>
      </c>
      <c r="G36" s="8">
        <v>101</v>
      </c>
      <c r="H36" s="9" t="s">
        <v>15</v>
      </c>
    </row>
    <row r="37" spans="1:8" ht="15" customHeight="1" x14ac:dyDescent="0.45">
      <c r="A37" s="10" t="s">
        <v>35</v>
      </c>
      <c r="B37" s="10" t="s">
        <v>11</v>
      </c>
      <c r="C37" s="10" t="s">
        <v>34</v>
      </c>
      <c r="D37" s="10" t="s">
        <v>13</v>
      </c>
      <c r="E37" s="10" t="s">
        <v>16</v>
      </c>
      <c r="F37" s="11">
        <v>60</v>
      </c>
      <c r="G37" s="11">
        <v>55.8</v>
      </c>
      <c r="H37" s="12" t="s">
        <v>17</v>
      </c>
    </row>
    <row r="38" spans="1:8" ht="15" customHeight="1" x14ac:dyDescent="0.45">
      <c r="A38" s="7" t="s">
        <v>35</v>
      </c>
      <c r="B38" s="7" t="s">
        <v>11</v>
      </c>
      <c r="C38" s="7" t="s">
        <v>34</v>
      </c>
      <c r="D38" s="7" t="s">
        <v>13</v>
      </c>
      <c r="E38" s="7" t="s">
        <v>18</v>
      </c>
      <c r="F38" s="8">
        <v>40</v>
      </c>
      <c r="G38" s="8">
        <v>42.4</v>
      </c>
      <c r="H38" s="9" t="s">
        <v>19</v>
      </c>
    </row>
    <row r="39" spans="1:8" ht="15" customHeight="1" x14ac:dyDescent="0.45">
      <c r="A39" s="10" t="s">
        <v>35</v>
      </c>
      <c r="B39" s="10" t="s">
        <v>11</v>
      </c>
      <c r="C39" s="10" t="s">
        <v>34</v>
      </c>
      <c r="D39" s="10" t="s">
        <v>20</v>
      </c>
      <c r="E39" s="10" t="s">
        <v>21</v>
      </c>
      <c r="F39" s="11">
        <v>90</v>
      </c>
      <c r="G39" s="11">
        <v>92.7</v>
      </c>
      <c r="H39" s="12" t="s">
        <v>22</v>
      </c>
    </row>
    <row r="40" spans="1:8" ht="15" customHeight="1" x14ac:dyDescent="0.45">
      <c r="A40" s="7" t="s">
        <v>35</v>
      </c>
      <c r="B40" s="7" t="s">
        <v>11</v>
      </c>
      <c r="C40" s="7" t="s">
        <v>34</v>
      </c>
      <c r="D40" s="7" t="s">
        <v>20</v>
      </c>
      <c r="E40" s="7" t="s">
        <v>23</v>
      </c>
      <c r="F40" s="8">
        <v>20</v>
      </c>
      <c r="G40" s="8">
        <v>19.600000000000001</v>
      </c>
      <c r="H40" s="9" t="s">
        <v>24</v>
      </c>
    </row>
    <row r="41" spans="1:8" ht="15" customHeight="1" x14ac:dyDescent="0.45">
      <c r="A41" s="10" t="s">
        <v>35</v>
      </c>
      <c r="B41" s="10" t="s">
        <v>11</v>
      </c>
      <c r="C41" s="10" t="s">
        <v>34</v>
      </c>
      <c r="D41" s="10" t="s">
        <v>20</v>
      </c>
      <c r="E41" s="10" t="s">
        <v>25</v>
      </c>
      <c r="F41" s="11">
        <v>16</v>
      </c>
      <c r="G41" s="11">
        <v>16.8</v>
      </c>
      <c r="H41" s="12" t="s">
        <v>26</v>
      </c>
    </row>
    <row r="42" spans="1:8" ht="15" customHeight="1" x14ac:dyDescent="0.45">
      <c r="A42" s="7" t="s">
        <v>35</v>
      </c>
      <c r="B42" s="7" t="s">
        <v>11</v>
      </c>
      <c r="C42" s="7" t="s">
        <v>34</v>
      </c>
      <c r="D42" s="7" t="s">
        <v>20</v>
      </c>
      <c r="E42" s="7" t="s">
        <v>27</v>
      </c>
      <c r="F42" s="8">
        <v>12</v>
      </c>
      <c r="G42" s="8">
        <v>12.36</v>
      </c>
      <c r="H42" s="9" t="s">
        <v>28</v>
      </c>
    </row>
    <row r="43" spans="1:8" ht="15" customHeight="1" x14ac:dyDescent="0.45">
      <c r="A43" s="10" t="s">
        <v>35</v>
      </c>
      <c r="B43" s="10" t="s">
        <v>11</v>
      </c>
      <c r="C43" s="10" t="s">
        <v>34</v>
      </c>
      <c r="D43" s="10" t="s">
        <v>20</v>
      </c>
      <c r="E43" s="10" t="s">
        <v>29</v>
      </c>
      <c r="F43" s="11">
        <v>8</v>
      </c>
      <c r="G43" s="11">
        <v>8.08</v>
      </c>
      <c r="H43" s="12" t="s">
        <v>30</v>
      </c>
    </row>
    <row r="44" spans="1:8" ht="15" customHeight="1" x14ac:dyDescent="0.45">
      <c r="A44" s="7" t="s">
        <v>36</v>
      </c>
      <c r="B44" s="7" t="s">
        <v>11</v>
      </c>
      <c r="C44" s="7" t="s">
        <v>34</v>
      </c>
      <c r="D44" s="7" t="s">
        <v>13</v>
      </c>
      <c r="E44" s="7" t="s">
        <v>14</v>
      </c>
      <c r="F44" s="8">
        <v>100</v>
      </c>
      <c r="G44" s="8">
        <v>103</v>
      </c>
      <c r="H44" s="9" t="s">
        <v>15</v>
      </c>
    </row>
    <row r="45" spans="1:8" ht="15" customHeight="1" x14ac:dyDescent="0.45">
      <c r="A45" s="10" t="s">
        <v>36</v>
      </c>
      <c r="B45" s="10" t="s">
        <v>11</v>
      </c>
      <c r="C45" s="10" t="s">
        <v>34</v>
      </c>
      <c r="D45" s="10" t="s">
        <v>13</v>
      </c>
      <c r="E45" s="10" t="s">
        <v>16</v>
      </c>
      <c r="F45" s="11">
        <v>60</v>
      </c>
      <c r="G45" s="11">
        <v>55.2</v>
      </c>
      <c r="H45" s="12" t="s">
        <v>17</v>
      </c>
    </row>
    <row r="46" spans="1:8" ht="15" customHeight="1" x14ac:dyDescent="0.45">
      <c r="A46" s="7" t="s">
        <v>36</v>
      </c>
      <c r="B46" s="7" t="s">
        <v>11</v>
      </c>
      <c r="C46" s="7" t="s">
        <v>34</v>
      </c>
      <c r="D46" s="7" t="s">
        <v>13</v>
      </c>
      <c r="E46" s="7" t="s">
        <v>18</v>
      </c>
      <c r="F46" s="8">
        <v>40</v>
      </c>
      <c r="G46" s="8">
        <v>43.2</v>
      </c>
      <c r="H46" s="9" t="s">
        <v>19</v>
      </c>
    </row>
    <row r="47" spans="1:8" ht="15" customHeight="1" x14ac:dyDescent="0.45">
      <c r="A47" s="10" t="s">
        <v>36</v>
      </c>
      <c r="B47" s="10" t="s">
        <v>11</v>
      </c>
      <c r="C47" s="10" t="s">
        <v>34</v>
      </c>
      <c r="D47" s="10" t="s">
        <v>20</v>
      </c>
      <c r="E47" s="10" t="s">
        <v>21</v>
      </c>
      <c r="F47" s="11">
        <v>90</v>
      </c>
      <c r="G47" s="11">
        <v>94.5</v>
      </c>
      <c r="H47" s="12" t="s">
        <v>22</v>
      </c>
    </row>
    <row r="48" spans="1:8" ht="15" customHeight="1" x14ac:dyDescent="0.45">
      <c r="A48" s="7" t="s">
        <v>36</v>
      </c>
      <c r="B48" s="7" t="s">
        <v>11</v>
      </c>
      <c r="C48" s="7" t="s">
        <v>34</v>
      </c>
      <c r="D48" s="7" t="s">
        <v>20</v>
      </c>
      <c r="E48" s="7" t="s">
        <v>23</v>
      </c>
      <c r="F48" s="8">
        <v>20</v>
      </c>
      <c r="G48" s="8">
        <v>20.399999999999999</v>
      </c>
      <c r="H48" s="9" t="s">
        <v>24</v>
      </c>
    </row>
    <row r="49" spans="1:8" ht="15" customHeight="1" x14ac:dyDescent="0.45">
      <c r="A49" s="10" t="s">
        <v>36</v>
      </c>
      <c r="B49" s="10" t="s">
        <v>11</v>
      </c>
      <c r="C49" s="10" t="s">
        <v>34</v>
      </c>
      <c r="D49" s="10" t="s">
        <v>20</v>
      </c>
      <c r="E49" s="10" t="s">
        <v>25</v>
      </c>
      <c r="F49" s="11">
        <v>16</v>
      </c>
      <c r="G49" s="11">
        <v>16.64</v>
      </c>
      <c r="H49" s="12" t="s">
        <v>26</v>
      </c>
    </row>
    <row r="50" spans="1:8" ht="15" customHeight="1" x14ac:dyDescent="0.45">
      <c r="A50" s="7" t="s">
        <v>36</v>
      </c>
      <c r="B50" s="7" t="s">
        <v>11</v>
      </c>
      <c r="C50" s="7" t="s">
        <v>34</v>
      </c>
      <c r="D50" s="7" t="s">
        <v>20</v>
      </c>
      <c r="E50" s="7" t="s">
        <v>27</v>
      </c>
      <c r="F50" s="8">
        <v>12</v>
      </c>
      <c r="G50" s="8">
        <v>12.36</v>
      </c>
      <c r="H50" s="9" t="s">
        <v>28</v>
      </c>
    </row>
    <row r="51" spans="1:8" ht="15" customHeight="1" x14ac:dyDescent="0.45">
      <c r="A51" s="10" t="s">
        <v>36</v>
      </c>
      <c r="B51" s="10" t="s">
        <v>11</v>
      </c>
      <c r="C51" s="10" t="s">
        <v>34</v>
      </c>
      <c r="D51" s="10" t="s">
        <v>20</v>
      </c>
      <c r="E51" s="10" t="s">
        <v>29</v>
      </c>
      <c r="F51" s="11">
        <v>8</v>
      </c>
      <c r="G51" s="11">
        <v>8</v>
      </c>
      <c r="H51" s="12" t="s">
        <v>30</v>
      </c>
    </row>
    <row r="52" spans="1:8" ht="15" customHeight="1" x14ac:dyDescent="0.45">
      <c r="A52" s="7" t="s">
        <v>37</v>
      </c>
      <c r="B52" s="7" t="s">
        <v>11</v>
      </c>
      <c r="C52" s="7" t="s">
        <v>38</v>
      </c>
      <c r="D52" s="7" t="s">
        <v>13</v>
      </c>
      <c r="E52" s="7" t="s">
        <v>14</v>
      </c>
      <c r="F52" s="8">
        <v>125</v>
      </c>
      <c r="G52" s="8">
        <v>130</v>
      </c>
      <c r="H52" s="9" t="s">
        <v>15</v>
      </c>
    </row>
    <row r="53" spans="1:8" ht="15" customHeight="1" x14ac:dyDescent="0.45">
      <c r="A53" s="10" t="s">
        <v>37</v>
      </c>
      <c r="B53" s="10" t="s">
        <v>11</v>
      </c>
      <c r="C53" s="10" t="s">
        <v>38</v>
      </c>
      <c r="D53" s="10" t="s">
        <v>13</v>
      </c>
      <c r="E53" s="10" t="s">
        <v>16</v>
      </c>
      <c r="F53" s="11">
        <v>75</v>
      </c>
      <c r="G53" s="11">
        <v>70.5</v>
      </c>
      <c r="H53" s="12" t="s">
        <v>17</v>
      </c>
    </row>
    <row r="54" spans="1:8" ht="15" customHeight="1" x14ac:dyDescent="0.45">
      <c r="A54" s="7" t="s">
        <v>37</v>
      </c>
      <c r="B54" s="7" t="s">
        <v>11</v>
      </c>
      <c r="C54" s="7" t="s">
        <v>38</v>
      </c>
      <c r="D54" s="7" t="s">
        <v>13</v>
      </c>
      <c r="E54" s="7" t="s">
        <v>18</v>
      </c>
      <c r="F54" s="8">
        <v>50</v>
      </c>
      <c r="G54" s="8">
        <v>54.5</v>
      </c>
      <c r="H54" s="9" t="s">
        <v>19</v>
      </c>
    </row>
    <row r="55" spans="1:8" ht="15" customHeight="1" x14ac:dyDescent="0.45">
      <c r="A55" s="10" t="s">
        <v>37</v>
      </c>
      <c r="B55" s="10" t="s">
        <v>11</v>
      </c>
      <c r="C55" s="10" t="s">
        <v>38</v>
      </c>
      <c r="D55" s="10" t="s">
        <v>20</v>
      </c>
      <c r="E55" s="10" t="s">
        <v>21</v>
      </c>
      <c r="F55" s="11">
        <v>112.5</v>
      </c>
      <c r="G55" s="11">
        <v>117</v>
      </c>
      <c r="H55" s="12" t="s">
        <v>22</v>
      </c>
    </row>
    <row r="56" spans="1:8" ht="15" customHeight="1" x14ac:dyDescent="0.45">
      <c r="A56" s="7" t="s">
        <v>37</v>
      </c>
      <c r="B56" s="7" t="s">
        <v>11</v>
      </c>
      <c r="C56" s="7" t="s">
        <v>38</v>
      </c>
      <c r="D56" s="7" t="s">
        <v>20</v>
      </c>
      <c r="E56" s="7" t="s">
        <v>23</v>
      </c>
      <c r="F56" s="8">
        <v>25</v>
      </c>
      <c r="G56" s="8">
        <v>25.75</v>
      </c>
      <c r="H56" s="9" t="s">
        <v>24</v>
      </c>
    </row>
    <row r="57" spans="1:8" ht="15" customHeight="1" x14ac:dyDescent="0.45">
      <c r="A57" s="10" t="s">
        <v>37</v>
      </c>
      <c r="B57" s="10" t="s">
        <v>11</v>
      </c>
      <c r="C57" s="10" t="s">
        <v>38</v>
      </c>
      <c r="D57" s="10" t="s">
        <v>20</v>
      </c>
      <c r="E57" s="10" t="s">
        <v>25</v>
      </c>
      <c r="F57" s="11">
        <v>20</v>
      </c>
      <c r="G57" s="11">
        <v>20.399999999999999</v>
      </c>
      <c r="H57" s="12" t="s">
        <v>26</v>
      </c>
    </row>
    <row r="58" spans="1:8" ht="15" customHeight="1" x14ac:dyDescent="0.45">
      <c r="A58" s="7" t="s">
        <v>37</v>
      </c>
      <c r="B58" s="7" t="s">
        <v>11</v>
      </c>
      <c r="C58" s="7" t="s">
        <v>38</v>
      </c>
      <c r="D58" s="7" t="s">
        <v>20</v>
      </c>
      <c r="E58" s="7" t="s">
        <v>27</v>
      </c>
      <c r="F58" s="8">
        <v>15</v>
      </c>
      <c r="G58" s="8">
        <v>15.6</v>
      </c>
      <c r="H58" s="9" t="s">
        <v>28</v>
      </c>
    </row>
    <row r="59" spans="1:8" ht="15" customHeight="1" x14ac:dyDescent="0.45">
      <c r="A59" s="10" t="s">
        <v>37</v>
      </c>
      <c r="B59" s="10" t="s">
        <v>11</v>
      </c>
      <c r="C59" s="10" t="s">
        <v>38</v>
      </c>
      <c r="D59" s="10" t="s">
        <v>20</v>
      </c>
      <c r="E59" s="10" t="s">
        <v>29</v>
      </c>
      <c r="F59" s="11">
        <v>10</v>
      </c>
      <c r="G59" s="11">
        <v>10.1</v>
      </c>
      <c r="H59" s="12" t="s">
        <v>30</v>
      </c>
    </row>
    <row r="60" spans="1:8" ht="15" customHeight="1" x14ac:dyDescent="0.45">
      <c r="A60" s="7" t="s">
        <v>39</v>
      </c>
      <c r="B60" s="7" t="s">
        <v>11</v>
      </c>
      <c r="C60" s="7" t="s">
        <v>38</v>
      </c>
      <c r="D60" s="7" t="s">
        <v>13</v>
      </c>
      <c r="E60" s="7" t="s">
        <v>14</v>
      </c>
      <c r="F60" s="8">
        <v>137.5</v>
      </c>
      <c r="G60" s="8">
        <v>144.38</v>
      </c>
      <c r="H60" s="9" t="s">
        <v>15</v>
      </c>
    </row>
    <row r="61" spans="1:8" ht="15" customHeight="1" x14ac:dyDescent="0.45">
      <c r="A61" s="10" t="s">
        <v>39</v>
      </c>
      <c r="B61" s="10" t="s">
        <v>11</v>
      </c>
      <c r="C61" s="10" t="s">
        <v>38</v>
      </c>
      <c r="D61" s="10" t="s">
        <v>13</v>
      </c>
      <c r="E61" s="10" t="s">
        <v>16</v>
      </c>
      <c r="F61" s="11">
        <v>82.5</v>
      </c>
      <c r="G61" s="11">
        <v>76.72</v>
      </c>
      <c r="H61" s="12" t="s">
        <v>17</v>
      </c>
    </row>
    <row r="62" spans="1:8" ht="15" customHeight="1" x14ac:dyDescent="0.45">
      <c r="A62" s="7" t="s">
        <v>39</v>
      </c>
      <c r="B62" s="7" t="s">
        <v>11</v>
      </c>
      <c r="C62" s="7" t="s">
        <v>38</v>
      </c>
      <c r="D62" s="7" t="s">
        <v>13</v>
      </c>
      <c r="E62" s="7" t="s">
        <v>18</v>
      </c>
      <c r="F62" s="8">
        <v>55</v>
      </c>
      <c r="G62" s="8">
        <v>60.5</v>
      </c>
      <c r="H62" s="9" t="s">
        <v>19</v>
      </c>
    </row>
    <row r="63" spans="1:8" ht="15" customHeight="1" x14ac:dyDescent="0.45">
      <c r="A63" s="10" t="s">
        <v>39</v>
      </c>
      <c r="B63" s="10" t="s">
        <v>11</v>
      </c>
      <c r="C63" s="10" t="s">
        <v>38</v>
      </c>
      <c r="D63" s="10" t="s">
        <v>20</v>
      </c>
      <c r="E63" s="10" t="s">
        <v>21</v>
      </c>
      <c r="F63" s="11">
        <v>123.75</v>
      </c>
      <c r="G63" s="11">
        <v>131.18</v>
      </c>
      <c r="H63" s="12" t="s">
        <v>22</v>
      </c>
    </row>
    <row r="64" spans="1:8" ht="15" customHeight="1" x14ac:dyDescent="0.45">
      <c r="A64" s="7" t="s">
        <v>39</v>
      </c>
      <c r="B64" s="7" t="s">
        <v>11</v>
      </c>
      <c r="C64" s="7" t="s">
        <v>38</v>
      </c>
      <c r="D64" s="7" t="s">
        <v>20</v>
      </c>
      <c r="E64" s="7" t="s">
        <v>23</v>
      </c>
      <c r="F64" s="8">
        <v>27.5</v>
      </c>
      <c r="G64" s="8">
        <v>28.05</v>
      </c>
      <c r="H64" s="9" t="s">
        <v>24</v>
      </c>
    </row>
    <row r="65" spans="1:8" ht="15" customHeight="1" x14ac:dyDescent="0.45">
      <c r="A65" s="10" t="s">
        <v>39</v>
      </c>
      <c r="B65" s="10" t="s">
        <v>11</v>
      </c>
      <c r="C65" s="10" t="s">
        <v>38</v>
      </c>
      <c r="D65" s="10" t="s">
        <v>20</v>
      </c>
      <c r="E65" s="10" t="s">
        <v>25</v>
      </c>
      <c r="F65" s="11">
        <v>22</v>
      </c>
      <c r="G65" s="11">
        <v>22.66</v>
      </c>
      <c r="H65" s="12" t="s">
        <v>26</v>
      </c>
    </row>
    <row r="66" spans="1:8" ht="15" customHeight="1" x14ac:dyDescent="0.45">
      <c r="A66" s="7" t="s">
        <v>39</v>
      </c>
      <c r="B66" s="7" t="s">
        <v>11</v>
      </c>
      <c r="C66" s="7" t="s">
        <v>38</v>
      </c>
      <c r="D66" s="7" t="s">
        <v>20</v>
      </c>
      <c r="E66" s="7" t="s">
        <v>27</v>
      </c>
      <c r="F66" s="8">
        <v>16.5</v>
      </c>
      <c r="G66" s="8">
        <v>17.32</v>
      </c>
      <c r="H66" s="9" t="s">
        <v>28</v>
      </c>
    </row>
    <row r="67" spans="1:8" ht="15" customHeight="1" x14ac:dyDescent="0.45">
      <c r="A67" s="10" t="s">
        <v>39</v>
      </c>
      <c r="B67" s="10" t="s">
        <v>11</v>
      </c>
      <c r="C67" s="10" t="s">
        <v>38</v>
      </c>
      <c r="D67" s="10" t="s">
        <v>20</v>
      </c>
      <c r="E67" s="10" t="s">
        <v>29</v>
      </c>
      <c r="F67" s="11">
        <v>11</v>
      </c>
      <c r="G67" s="11">
        <v>11.22</v>
      </c>
      <c r="H67" s="12" t="s">
        <v>30</v>
      </c>
    </row>
    <row r="68" spans="1:8" ht="15" customHeight="1" x14ac:dyDescent="0.45">
      <c r="A68" s="7" t="s">
        <v>40</v>
      </c>
      <c r="B68" s="7" t="s">
        <v>11</v>
      </c>
      <c r="C68" s="7" t="s">
        <v>38</v>
      </c>
      <c r="D68" s="7" t="s">
        <v>13</v>
      </c>
      <c r="E68" s="7" t="s">
        <v>14</v>
      </c>
      <c r="F68" s="8">
        <v>125</v>
      </c>
      <c r="G68" s="8">
        <v>128.75</v>
      </c>
      <c r="H68" s="9" t="s">
        <v>15</v>
      </c>
    </row>
    <row r="69" spans="1:8" ht="15" customHeight="1" x14ac:dyDescent="0.45">
      <c r="A69" s="10" t="s">
        <v>40</v>
      </c>
      <c r="B69" s="10" t="s">
        <v>11</v>
      </c>
      <c r="C69" s="10" t="s">
        <v>38</v>
      </c>
      <c r="D69" s="10" t="s">
        <v>13</v>
      </c>
      <c r="E69" s="10" t="s">
        <v>16</v>
      </c>
      <c r="F69" s="11">
        <v>75</v>
      </c>
      <c r="G69" s="11">
        <v>68.25</v>
      </c>
      <c r="H69" s="12" t="s">
        <v>17</v>
      </c>
    </row>
    <row r="70" spans="1:8" ht="15" customHeight="1" x14ac:dyDescent="0.45">
      <c r="A70" s="7" t="s">
        <v>40</v>
      </c>
      <c r="B70" s="7" t="s">
        <v>11</v>
      </c>
      <c r="C70" s="7" t="s">
        <v>38</v>
      </c>
      <c r="D70" s="7" t="s">
        <v>13</v>
      </c>
      <c r="E70" s="7" t="s">
        <v>18</v>
      </c>
      <c r="F70" s="8">
        <v>50</v>
      </c>
      <c r="G70" s="8">
        <v>54</v>
      </c>
      <c r="H70" s="9" t="s">
        <v>19</v>
      </c>
    </row>
    <row r="71" spans="1:8" ht="15" customHeight="1" x14ac:dyDescent="0.45">
      <c r="A71" s="10" t="s">
        <v>40</v>
      </c>
      <c r="B71" s="10" t="s">
        <v>11</v>
      </c>
      <c r="C71" s="10" t="s">
        <v>38</v>
      </c>
      <c r="D71" s="10" t="s">
        <v>20</v>
      </c>
      <c r="E71" s="10" t="s">
        <v>21</v>
      </c>
      <c r="F71" s="11">
        <v>112.5</v>
      </c>
      <c r="G71" s="11">
        <v>118.12</v>
      </c>
      <c r="H71" s="12" t="s">
        <v>22</v>
      </c>
    </row>
    <row r="72" spans="1:8" ht="15" customHeight="1" x14ac:dyDescent="0.45">
      <c r="A72" s="7" t="s">
        <v>40</v>
      </c>
      <c r="B72" s="7" t="s">
        <v>11</v>
      </c>
      <c r="C72" s="7" t="s">
        <v>38</v>
      </c>
      <c r="D72" s="7" t="s">
        <v>20</v>
      </c>
      <c r="E72" s="7" t="s">
        <v>23</v>
      </c>
      <c r="F72" s="8">
        <v>25</v>
      </c>
      <c r="G72" s="8">
        <v>24.75</v>
      </c>
      <c r="H72" s="9" t="s">
        <v>24</v>
      </c>
    </row>
    <row r="73" spans="1:8" ht="15" customHeight="1" x14ac:dyDescent="0.45">
      <c r="A73" s="10" t="s">
        <v>40</v>
      </c>
      <c r="B73" s="10" t="s">
        <v>11</v>
      </c>
      <c r="C73" s="10" t="s">
        <v>38</v>
      </c>
      <c r="D73" s="10" t="s">
        <v>20</v>
      </c>
      <c r="E73" s="10" t="s">
        <v>25</v>
      </c>
      <c r="F73" s="11">
        <v>20</v>
      </c>
      <c r="G73" s="11">
        <v>21</v>
      </c>
      <c r="H73" s="12" t="s">
        <v>26</v>
      </c>
    </row>
    <row r="74" spans="1:8" ht="15" customHeight="1" x14ac:dyDescent="0.45">
      <c r="A74" s="7" t="s">
        <v>40</v>
      </c>
      <c r="B74" s="7" t="s">
        <v>11</v>
      </c>
      <c r="C74" s="7" t="s">
        <v>38</v>
      </c>
      <c r="D74" s="7" t="s">
        <v>20</v>
      </c>
      <c r="E74" s="7" t="s">
        <v>27</v>
      </c>
      <c r="F74" s="8">
        <v>15</v>
      </c>
      <c r="G74" s="8">
        <v>15.45</v>
      </c>
      <c r="H74" s="9" t="s">
        <v>28</v>
      </c>
    </row>
    <row r="75" spans="1:8" ht="15" customHeight="1" x14ac:dyDescent="0.45">
      <c r="A75" s="10" t="s">
        <v>40</v>
      </c>
      <c r="B75" s="10" t="s">
        <v>11</v>
      </c>
      <c r="C75" s="10" t="s">
        <v>38</v>
      </c>
      <c r="D75" s="10" t="s">
        <v>20</v>
      </c>
      <c r="E75" s="10" t="s">
        <v>29</v>
      </c>
      <c r="F75" s="11">
        <v>10</v>
      </c>
      <c r="G75" s="11">
        <v>10.1</v>
      </c>
      <c r="H75" s="12" t="s">
        <v>30</v>
      </c>
    </row>
    <row r="76" spans="1:8" ht="15" customHeight="1" x14ac:dyDescent="0.45">
      <c r="A76" s="7" t="s">
        <v>41</v>
      </c>
      <c r="B76" s="7" t="s">
        <v>11</v>
      </c>
      <c r="C76" s="7" t="s">
        <v>42</v>
      </c>
      <c r="D76" s="7" t="s">
        <v>13</v>
      </c>
      <c r="E76" s="7" t="s">
        <v>14</v>
      </c>
      <c r="F76" s="8">
        <v>112.5</v>
      </c>
      <c r="G76" s="8">
        <v>117</v>
      </c>
      <c r="H76" s="9" t="s">
        <v>15</v>
      </c>
    </row>
    <row r="77" spans="1:8" ht="15" customHeight="1" x14ac:dyDescent="0.45">
      <c r="A77" s="10" t="s">
        <v>41</v>
      </c>
      <c r="B77" s="10" t="s">
        <v>11</v>
      </c>
      <c r="C77" s="10" t="s">
        <v>42</v>
      </c>
      <c r="D77" s="10" t="s">
        <v>13</v>
      </c>
      <c r="E77" s="10" t="s">
        <v>16</v>
      </c>
      <c r="F77" s="11">
        <v>67.5</v>
      </c>
      <c r="G77" s="11">
        <v>62.1</v>
      </c>
      <c r="H77" s="12" t="s">
        <v>17</v>
      </c>
    </row>
    <row r="78" spans="1:8" ht="15" customHeight="1" x14ac:dyDescent="0.45">
      <c r="A78" s="7" t="s">
        <v>41</v>
      </c>
      <c r="B78" s="7" t="s">
        <v>11</v>
      </c>
      <c r="C78" s="7" t="s">
        <v>42</v>
      </c>
      <c r="D78" s="7" t="s">
        <v>13</v>
      </c>
      <c r="E78" s="7" t="s">
        <v>18</v>
      </c>
      <c r="F78" s="8">
        <v>45</v>
      </c>
      <c r="G78" s="8">
        <v>49.05</v>
      </c>
      <c r="H78" s="9" t="s">
        <v>19</v>
      </c>
    </row>
    <row r="79" spans="1:8" ht="15" customHeight="1" x14ac:dyDescent="0.45">
      <c r="A79" s="10" t="s">
        <v>41</v>
      </c>
      <c r="B79" s="10" t="s">
        <v>11</v>
      </c>
      <c r="C79" s="10" t="s">
        <v>42</v>
      </c>
      <c r="D79" s="10" t="s">
        <v>20</v>
      </c>
      <c r="E79" s="10" t="s">
        <v>21</v>
      </c>
      <c r="F79" s="11">
        <v>101.25</v>
      </c>
      <c r="G79" s="11">
        <v>107.33</v>
      </c>
      <c r="H79" s="12" t="s">
        <v>22</v>
      </c>
    </row>
    <row r="80" spans="1:8" ht="15" customHeight="1" x14ac:dyDescent="0.45">
      <c r="A80" s="7" t="s">
        <v>41</v>
      </c>
      <c r="B80" s="7" t="s">
        <v>11</v>
      </c>
      <c r="C80" s="7" t="s">
        <v>42</v>
      </c>
      <c r="D80" s="7" t="s">
        <v>20</v>
      </c>
      <c r="E80" s="7" t="s">
        <v>23</v>
      </c>
      <c r="F80" s="8">
        <v>22.5</v>
      </c>
      <c r="G80" s="8">
        <v>22.95</v>
      </c>
      <c r="H80" s="9" t="s">
        <v>24</v>
      </c>
    </row>
    <row r="81" spans="1:8" ht="15" customHeight="1" x14ac:dyDescent="0.45">
      <c r="A81" s="10" t="s">
        <v>41</v>
      </c>
      <c r="B81" s="10" t="s">
        <v>11</v>
      </c>
      <c r="C81" s="10" t="s">
        <v>42</v>
      </c>
      <c r="D81" s="10" t="s">
        <v>20</v>
      </c>
      <c r="E81" s="10" t="s">
        <v>25</v>
      </c>
      <c r="F81" s="11">
        <v>18</v>
      </c>
      <c r="G81" s="11">
        <v>18.72</v>
      </c>
      <c r="H81" s="12" t="s">
        <v>26</v>
      </c>
    </row>
    <row r="82" spans="1:8" ht="15" customHeight="1" x14ac:dyDescent="0.45">
      <c r="A82" s="7" t="s">
        <v>41</v>
      </c>
      <c r="B82" s="7" t="s">
        <v>11</v>
      </c>
      <c r="C82" s="7" t="s">
        <v>42</v>
      </c>
      <c r="D82" s="7" t="s">
        <v>20</v>
      </c>
      <c r="E82" s="7" t="s">
        <v>27</v>
      </c>
      <c r="F82" s="8">
        <v>13.5</v>
      </c>
      <c r="G82" s="8">
        <v>14.04</v>
      </c>
      <c r="H82" s="9" t="s">
        <v>28</v>
      </c>
    </row>
    <row r="83" spans="1:8" ht="15" customHeight="1" x14ac:dyDescent="0.45">
      <c r="A83" s="10" t="s">
        <v>41</v>
      </c>
      <c r="B83" s="10" t="s">
        <v>11</v>
      </c>
      <c r="C83" s="10" t="s">
        <v>42</v>
      </c>
      <c r="D83" s="10" t="s">
        <v>20</v>
      </c>
      <c r="E83" s="10" t="s">
        <v>29</v>
      </c>
      <c r="F83" s="11">
        <v>9</v>
      </c>
      <c r="G83" s="11">
        <v>9.09</v>
      </c>
      <c r="H83" s="12" t="s">
        <v>30</v>
      </c>
    </row>
    <row r="84" spans="1:8" ht="15" customHeight="1" x14ac:dyDescent="0.45">
      <c r="A84" s="7" t="s">
        <v>43</v>
      </c>
      <c r="B84" s="7" t="s">
        <v>11</v>
      </c>
      <c r="C84" s="7" t="s">
        <v>42</v>
      </c>
      <c r="D84" s="7" t="s">
        <v>13</v>
      </c>
      <c r="E84" s="7" t="s">
        <v>14</v>
      </c>
      <c r="F84" s="8">
        <v>100</v>
      </c>
      <c r="G84" s="8">
        <v>103</v>
      </c>
      <c r="H84" s="9" t="s">
        <v>15</v>
      </c>
    </row>
    <row r="85" spans="1:8" ht="15" customHeight="1" x14ac:dyDescent="0.45">
      <c r="A85" s="10" t="s">
        <v>43</v>
      </c>
      <c r="B85" s="10" t="s">
        <v>11</v>
      </c>
      <c r="C85" s="10" t="s">
        <v>42</v>
      </c>
      <c r="D85" s="10" t="s">
        <v>13</v>
      </c>
      <c r="E85" s="10" t="s">
        <v>16</v>
      </c>
      <c r="F85" s="11">
        <v>60</v>
      </c>
      <c r="G85" s="11">
        <v>54</v>
      </c>
      <c r="H85" s="12" t="s">
        <v>17</v>
      </c>
    </row>
    <row r="86" spans="1:8" ht="15" customHeight="1" x14ac:dyDescent="0.45">
      <c r="A86" s="7" t="s">
        <v>43</v>
      </c>
      <c r="B86" s="7" t="s">
        <v>11</v>
      </c>
      <c r="C86" s="7" t="s">
        <v>42</v>
      </c>
      <c r="D86" s="7" t="s">
        <v>13</v>
      </c>
      <c r="E86" s="7" t="s">
        <v>18</v>
      </c>
      <c r="F86" s="8">
        <v>40</v>
      </c>
      <c r="G86" s="8">
        <v>44</v>
      </c>
      <c r="H86" s="9" t="s">
        <v>19</v>
      </c>
    </row>
    <row r="87" spans="1:8" ht="15" customHeight="1" x14ac:dyDescent="0.45">
      <c r="A87" s="10" t="s">
        <v>43</v>
      </c>
      <c r="B87" s="10" t="s">
        <v>11</v>
      </c>
      <c r="C87" s="10" t="s">
        <v>42</v>
      </c>
      <c r="D87" s="10" t="s">
        <v>20</v>
      </c>
      <c r="E87" s="10" t="s">
        <v>21</v>
      </c>
      <c r="F87" s="11">
        <v>90</v>
      </c>
      <c r="G87" s="11">
        <v>94.5</v>
      </c>
      <c r="H87" s="12" t="s">
        <v>22</v>
      </c>
    </row>
    <row r="88" spans="1:8" ht="15" customHeight="1" x14ac:dyDescent="0.45">
      <c r="A88" s="7" t="s">
        <v>43</v>
      </c>
      <c r="B88" s="7" t="s">
        <v>11</v>
      </c>
      <c r="C88" s="7" t="s">
        <v>42</v>
      </c>
      <c r="D88" s="7" t="s">
        <v>20</v>
      </c>
      <c r="E88" s="7" t="s">
        <v>23</v>
      </c>
      <c r="F88" s="8">
        <v>20</v>
      </c>
      <c r="G88" s="8">
        <v>20.2</v>
      </c>
      <c r="H88" s="9" t="s">
        <v>24</v>
      </c>
    </row>
    <row r="89" spans="1:8" ht="15" customHeight="1" x14ac:dyDescent="0.45">
      <c r="A89" s="10" t="s">
        <v>43</v>
      </c>
      <c r="B89" s="10" t="s">
        <v>11</v>
      </c>
      <c r="C89" s="10" t="s">
        <v>42</v>
      </c>
      <c r="D89" s="10" t="s">
        <v>20</v>
      </c>
      <c r="E89" s="10" t="s">
        <v>25</v>
      </c>
      <c r="F89" s="11">
        <v>16</v>
      </c>
      <c r="G89" s="11">
        <v>16.48</v>
      </c>
      <c r="H89" s="12" t="s">
        <v>26</v>
      </c>
    </row>
    <row r="90" spans="1:8" ht="15" customHeight="1" x14ac:dyDescent="0.45">
      <c r="A90" s="7" t="s">
        <v>43</v>
      </c>
      <c r="B90" s="7" t="s">
        <v>11</v>
      </c>
      <c r="C90" s="7" t="s">
        <v>42</v>
      </c>
      <c r="D90" s="7" t="s">
        <v>20</v>
      </c>
      <c r="E90" s="7" t="s">
        <v>27</v>
      </c>
      <c r="F90" s="8">
        <v>12</v>
      </c>
      <c r="G90" s="8">
        <v>12.36</v>
      </c>
      <c r="H90" s="9" t="s">
        <v>28</v>
      </c>
    </row>
    <row r="91" spans="1:8" ht="15" customHeight="1" x14ac:dyDescent="0.45">
      <c r="A91" s="10" t="s">
        <v>43</v>
      </c>
      <c r="B91" s="10" t="s">
        <v>11</v>
      </c>
      <c r="C91" s="10" t="s">
        <v>42</v>
      </c>
      <c r="D91" s="10" t="s">
        <v>20</v>
      </c>
      <c r="E91" s="10" t="s">
        <v>29</v>
      </c>
      <c r="F91" s="11">
        <v>8</v>
      </c>
      <c r="G91" s="11">
        <v>8</v>
      </c>
      <c r="H91" s="12" t="s">
        <v>30</v>
      </c>
    </row>
    <row r="92" spans="1:8" ht="15" customHeight="1" x14ac:dyDescent="0.45">
      <c r="A92" s="7" t="s">
        <v>44</v>
      </c>
      <c r="B92" s="7" t="s">
        <v>11</v>
      </c>
      <c r="C92" s="7" t="s">
        <v>42</v>
      </c>
      <c r="D92" s="7" t="s">
        <v>13</v>
      </c>
      <c r="E92" s="7" t="s">
        <v>14</v>
      </c>
      <c r="F92" s="8">
        <v>87.5</v>
      </c>
      <c r="G92" s="8">
        <v>91.88</v>
      </c>
      <c r="H92" s="9" t="s">
        <v>15</v>
      </c>
    </row>
    <row r="93" spans="1:8" ht="15" customHeight="1" x14ac:dyDescent="0.45">
      <c r="A93" s="10" t="s">
        <v>44</v>
      </c>
      <c r="B93" s="10" t="s">
        <v>11</v>
      </c>
      <c r="C93" s="10" t="s">
        <v>42</v>
      </c>
      <c r="D93" s="10" t="s">
        <v>13</v>
      </c>
      <c r="E93" s="10" t="s">
        <v>16</v>
      </c>
      <c r="F93" s="11">
        <v>52.5</v>
      </c>
      <c r="G93" s="11">
        <v>46.73</v>
      </c>
      <c r="H93" s="12" t="s">
        <v>17</v>
      </c>
    </row>
    <row r="94" spans="1:8" ht="15" customHeight="1" x14ac:dyDescent="0.45">
      <c r="A94" s="7" t="s">
        <v>44</v>
      </c>
      <c r="B94" s="7" t="s">
        <v>11</v>
      </c>
      <c r="C94" s="7" t="s">
        <v>42</v>
      </c>
      <c r="D94" s="7" t="s">
        <v>13</v>
      </c>
      <c r="E94" s="7" t="s">
        <v>18</v>
      </c>
      <c r="F94" s="8">
        <v>35</v>
      </c>
      <c r="G94" s="8">
        <v>38.85</v>
      </c>
      <c r="H94" s="9" t="s">
        <v>19</v>
      </c>
    </row>
    <row r="95" spans="1:8" ht="15" customHeight="1" x14ac:dyDescent="0.45">
      <c r="A95" s="10" t="s">
        <v>44</v>
      </c>
      <c r="B95" s="10" t="s">
        <v>11</v>
      </c>
      <c r="C95" s="10" t="s">
        <v>42</v>
      </c>
      <c r="D95" s="10" t="s">
        <v>20</v>
      </c>
      <c r="E95" s="10" t="s">
        <v>21</v>
      </c>
      <c r="F95" s="11">
        <v>78.75</v>
      </c>
      <c r="G95" s="11">
        <v>84.26</v>
      </c>
      <c r="H95" s="12" t="s">
        <v>22</v>
      </c>
    </row>
    <row r="96" spans="1:8" ht="15" customHeight="1" x14ac:dyDescent="0.45">
      <c r="A96" s="7" t="s">
        <v>44</v>
      </c>
      <c r="B96" s="7" t="s">
        <v>11</v>
      </c>
      <c r="C96" s="7" t="s">
        <v>42</v>
      </c>
      <c r="D96" s="7" t="s">
        <v>20</v>
      </c>
      <c r="E96" s="7" t="s">
        <v>23</v>
      </c>
      <c r="F96" s="8">
        <v>17.5</v>
      </c>
      <c r="G96" s="8">
        <v>18.03</v>
      </c>
      <c r="H96" s="9" t="s">
        <v>24</v>
      </c>
    </row>
    <row r="97" spans="1:8" ht="15" customHeight="1" x14ac:dyDescent="0.45">
      <c r="A97" s="10" t="s">
        <v>44</v>
      </c>
      <c r="B97" s="10" t="s">
        <v>11</v>
      </c>
      <c r="C97" s="10" t="s">
        <v>42</v>
      </c>
      <c r="D97" s="10" t="s">
        <v>20</v>
      </c>
      <c r="E97" s="10" t="s">
        <v>25</v>
      </c>
      <c r="F97" s="11">
        <v>14</v>
      </c>
      <c r="G97" s="11">
        <v>14.7</v>
      </c>
      <c r="H97" s="12" t="s">
        <v>26</v>
      </c>
    </row>
    <row r="98" spans="1:8" ht="15" customHeight="1" x14ac:dyDescent="0.45">
      <c r="A98" s="7" t="s">
        <v>44</v>
      </c>
      <c r="B98" s="7" t="s">
        <v>11</v>
      </c>
      <c r="C98" s="7" t="s">
        <v>42</v>
      </c>
      <c r="D98" s="7" t="s">
        <v>20</v>
      </c>
      <c r="E98" s="7" t="s">
        <v>27</v>
      </c>
      <c r="F98" s="8">
        <v>10.5</v>
      </c>
      <c r="G98" s="8">
        <v>11.03</v>
      </c>
      <c r="H98" s="9" t="s">
        <v>28</v>
      </c>
    </row>
    <row r="99" spans="1:8" ht="15" customHeight="1" x14ac:dyDescent="0.45">
      <c r="A99" s="10" t="s">
        <v>44</v>
      </c>
      <c r="B99" s="10" t="s">
        <v>11</v>
      </c>
      <c r="C99" s="10" t="s">
        <v>42</v>
      </c>
      <c r="D99" s="10" t="s">
        <v>20</v>
      </c>
      <c r="E99" s="10" t="s">
        <v>29</v>
      </c>
      <c r="F99" s="11">
        <v>7</v>
      </c>
      <c r="G99" s="11">
        <v>7.14</v>
      </c>
      <c r="H99" s="12" t="s">
        <v>30</v>
      </c>
    </row>
    <row r="100" spans="1:8" ht="15" customHeight="1" x14ac:dyDescent="0.45">
      <c r="A100" s="7" t="s">
        <v>45</v>
      </c>
      <c r="B100" s="7" t="s">
        <v>46</v>
      </c>
      <c r="C100" s="7" t="s">
        <v>12</v>
      </c>
      <c r="D100" s="7" t="s">
        <v>13</v>
      </c>
      <c r="E100" s="7" t="s">
        <v>14</v>
      </c>
      <c r="F100" s="8">
        <v>96.6</v>
      </c>
      <c r="G100" s="8">
        <v>99.5</v>
      </c>
      <c r="H100" s="9" t="s">
        <v>15</v>
      </c>
    </row>
    <row r="101" spans="1:8" ht="15" customHeight="1" x14ac:dyDescent="0.45">
      <c r="A101" s="10" t="s">
        <v>45</v>
      </c>
      <c r="B101" s="10" t="s">
        <v>46</v>
      </c>
      <c r="C101" s="10" t="s">
        <v>12</v>
      </c>
      <c r="D101" s="10" t="s">
        <v>13</v>
      </c>
      <c r="E101" s="10" t="s">
        <v>16</v>
      </c>
      <c r="F101" s="11">
        <v>53.9</v>
      </c>
      <c r="G101" s="11">
        <v>48.51</v>
      </c>
      <c r="H101" s="12" t="s">
        <v>17</v>
      </c>
    </row>
    <row r="102" spans="1:8" ht="15" customHeight="1" x14ac:dyDescent="0.45">
      <c r="A102" s="7" t="s">
        <v>45</v>
      </c>
      <c r="B102" s="7" t="s">
        <v>46</v>
      </c>
      <c r="C102" s="7" t="s">
        <v>12</v>
      </c>
      <c r="D102" s="7" t="s">
        <v>13</v>
      </c>
      <c r="E102" s="7" t="s">
        <v>18</v>
      </c>
      <c r="F102" s="8">
        <v>42</v>
      </c>
      <c r="G102" s="8">
        <v>45.36</v>
      </c>
      <c r="H102" s="9" t="s">
        <v>19</v>
      </c>
    </row>
    <row r="103" spans="1:8" ht="15" customHeight="1" x14ac:dyDescent="0.45">
      <c r="A103" s="10" t="s">
        <v>45</v>
      </c>
      <c r="B103" s="10" t="s">
        <v>46</v>
      </c>
      <c r="C103" s="10" t="s">
        <v>12</v>
      </c>
      <c r="D103" s="10" t="s">
        <v>20</v>
      </c>
      <c r="E103" s="10" t="s">
        <v>21</v>
      </c>
      <c r="F103" s="11">
        <v>84.7</v>
      </c>
      <c r="G103" s="11">
        <v>88.94</v>
      </c>
      <c r="H103" s="12" t="s">
        <v>22</v>
      </c>
    </row>
    <row r="104" spans="1:8" ht="15" customHeight="1" x14ac:dyDescent="0.45">
      <c r="A104" s="7" t="s">
        <v>45</v>
      </c>
      <c r="B104" s="7" t="s">
        <v>46</v>
      </c>
      <c r="C104" s="7" t="s">
        <v>12</v>
      </c>
      <c r="D104" s="7" t="s">
        <v>20</v>
      </c>
      <c r="E104" s="7" t="s">
        <v>23</v>
      </c>
      <c r="F104" s="8">
        <v>19.25</v>
      </c>
      <c r="G104" s="8">
        <v>19.440000000000001</v>
      </c>
      <c r="H104" s="9" t="s">
        <v>24</v>
      </c>
    </row>
    <row r="105" spans="1:8" ht="15" customHeight="1" x14ac:dyDescent="0.45">
      <c r="A105" s="10" t="s">
        <v>45</v>
      </c>
      <c r="B105" s="10" t="s">
        <v>46</v>
      </c>
      <c r="C105" s="10" t="s">
        <v>12</v>
      </c>
      <c r="D105" s="10" t="s">
        <v>20</v>
      </c>
      <c r="E105" s="10" t="s">
        <v>25</v>
      </c>
      <c r="F105" s="11">
        <v>15.75</v>
      </c>
      <c r="G105" s="11">
        <v>17.010000000000002</v>
      </c>
      <c r="H105" s="12" t="s">
        <v>26</v>
      </c>
    </row>
    <row r="106" spans="1:8" ht="15" customHeight="1" x14ac:dyDescent="0.45">
      <c r="A106" s="7" t="s">
        <v>45</v>
      </c>
      <c r="B106" s="7" t="s">
        <v>46</v>
      </c>
      <c r="C106" s="7" t="s">
        <v>12</v>
      </c>
      <c r="D106" s="7" t="s">
        <v>20</v>
      </c>
      <c r="E106" s="7" t="s">
        <v>27</v>
      </c>
      <c r="F106" s="8">
        <v>11.55</v>
      </c>
      <c r="G106" s="8">
        <v>11.9</v>
      </c>
      <c r="H106" s="9" t="s">
        <v>28</v>
      </c>
    </row>
    <row r="107" spans="1:8" ht="15" customHeight="1" x14ac:dyDescent="0.45">
      <c r="A107" s="10" t="s">
        <v>45</v>
      </c>
      <c r="B107" s="10" t="s">
        <v>46</v>
      </c>
      <c r="C107" s="10" t="s">
        <v>12</v>
      </c>
      <c r="D107" s="10" t="s">
        <v>20</v>
      </c>
      <c r="E107" s="10" t="s">
        <v>29</v>
      </c>
      <c r="F107" s="11">
        <v>7.7</v>
      </c>
      <c r="G107" s="11">
        <v>7.78</v>
      </c>
      <c r="H107" s="12" t="s">
        <v>30</v>
      </c>
    </row>
    <row r="108" spans="1:8" ht="15" customHeight="1" x14ac:dyDescent="0.45">
      <c r="A108" s="7" t="s">
        <v>47</v>
      </c>
      <c r="B108" s="7" t="s">
        <v>46</v>
      </c>
      <c r="C108" s="7" t="s">
        <v>12</v>
      </c>
      <c r="D108" s="7" t="s">
        <v>13</v>
      </c>
      <c r="E108" s="7" t="s">
        <v>14</v>
      </c>
      <c r="F108" s="8">
        <v>96.6</v>
      </c>
      <c r="G108" s="8">
        <v>98.53</v>
      </c>
      <c r="H108" s="9" t="s">
        <v>15</v>
      </c>
    </row>
    <row r="109" spans="1:8" ht="15" customHeight="1" x14ac:dyDescent="0.45">
      <c r="A109" s="10" t="s">
        <v>47</v>
      </c>
      <c r="B109" s="10" t="s">
        <v>46</v>
      </c>
      <c r="C109" s="10" t="s">
        <v>12</v>
      </c>
      <c r="D109" s="10" t="s">
        <v>13</v>
      </c>
      <c r="E109" s="10" t="s">
        <v>16</v>
      </c>
      <c r="F109" s="11">
        <v>53.9</v>
      </c>
      <c r="G109" s="11">
        <v>47.97</v>
      </c>
      <c r="H109" s="12" t="s">
        <v>17</v>
      </c>
    </row>
    <row r="110" spans="1:8" ht="15" customHeight="1" x14ac:dyDescent="0.45">
      <c r="A110" s="7" t="s">
        <v>47</v>
      </c>
      <c r="B110" s="7" t="s">
        <v>46</v>
      </c>
      <c r="C110" s="7" t="s">
        <v>12</v>
      </c>
      <c r="D110" s="7" t="s">
        <v>13</v>
      </c>
      <c r="E110" s="7" t="s">
        <v>18</v>
      </c>
      <c r="F110" s="8">
        <v>42</v>
      </c>
      <c r="G110" s="8">
        <v>45.78</v>
      </c>
      <c r="H110" s="9" t="s">
        <v>19</v>
      </c>
    </row>
    <row r="111" spans="1:8" ht="15" customHeight="1" x14ac:dyDescent="0.45">
      <c r="A111" s="10" t="s">
        <v>47</v>
      </c>
      <c r="B111" s="10" t="s">
        <v>46</v>
      </c>
      <c r="C111" s="10" t="s">
        <v>12</v>
      </c>
      <c r="D111" s="10" t="s">
        <v>20</v>
      </c>
      <c r="E111" s="10" t="s">
        <v>21</v>
      </c>
      <c r="F111" s="11">
        <v>84.7</v>
      </c>
      <c r="G111" s="11">
        <v>89.78</v>
      </c>
      <c r="H111" s="12" t="s">
        <v>22</v>
      </c>
    </row>
    <row r="112" spans="1:8" ht="15" customHeight="1" x14ac:dyDescent="0.45">
      <c r="A112" s="7" t="s">
        <v>47</v>
      </c>
      <c r="B112" s="7" t="s">
        <v>46</v>
      </c>
      <c r="C112" s="7" t="s">
        <v>12</v>
      </c>
      <c r="D112" s="7" t="s">
        <v>20</v>
      </c>
      <c r="E112" s="7" t="s">
        <v>23</v>
      </c>
      <c r="F112" s="8">
        <v>19.25</v>
      </c>
      <c r="G112" s="8">
        <v>19.059999999999999</v>
      </c>
      <c r="H112" s="9" t="s">
        <v>24</v>
      </c>
    </row>
    <row r="113" spans="1:8" ht="15" customHeight="1" x14ac:dyDescent="0.45">
      <c r="A113" s="10" t="s">
        <v>47</v>
      </c>
      <c r="B113" s="10" t="s">
        <v>46</v>
      </c>
      <c r="C113" s="10" t="s">
        <v>12</v>
      </c>
      <c r="D113" s="10" t="s">
        <v>20</v>
      </c>
      <c r="E113" s="10" t="s">
        <v>25</v>
      </c>
      <c r="F113" s="11">
        <v>15.75</v>
      </c>
      <c r="G113" s="11">
        <v>17.329999999999998</v>
      </c>
      <c r="H113" s="12" t="s">
        <v>26</v>
      </c>
    </row>
    <row r="114" spans="1:8" ht="15" customHeight="1" x14ac:dyDescent="0.45">
      <c r="A114" s="7" t="s">
        <v>47</v>
      </c>
      <c r="B114" s="7" t="s">
        <v>46</v>
      </c>
      <c r="C114" s="7" t="s">
        <v>12</v>
      </c>
      <c r="D114" s="7" t="s">
        <v>20</v>
      </c>
      <c r="E114" s="7" t="s">
        <v>27</v>
      </c>
      <c r="F114" s="8">
        <v>11.55</v>
      </c>
      <c r="G114" s="8">
        <v>12.01</v>
      </c>
      <c r="H114" s="9" t="s">
        <v>28</v>
      </c>
    </row>
    <row r="115" spans="1:8" ht="15" customHeight="1" x14ac:dyDescent="0.45">
      <c r="A115" s="10" t="s">
        <v>47</v>
      </c>
      <c r="B115" s="10" t="s">
        <v>46</v>
      </c>
      <c r="C115" s="10" t="s">
        <v>12</v>
      </c>
      <c r="D115" s="10" t="s">
        <v>20</v>
      </c>
      <c r="E115" s="10" t="s">
        <v>29</v>
      </c>
      <c r="F115" s="11">
        <v>7.7</v>
      </c>
      <c r="G115" s="11">
        <v>7.7</v>
      </c>
      <c r="H115" s="12" t="s">
        <v>30</v>
      </c>
    </row>
    <row r="116" spans="1:8" ht="15" customHeight="1" x14ac:dyDescent="0.45">
      <c r="A116" s="7" t="s">
        <v>48</v>
      </c>
      <c r="B116" s="7" t="s">
        <v>46</v>
      </c>
      <c r="C116" s="7" t="s">
        <v>12</v>
      </c>
      <c r="D116" s="7" t="s">
        <v>13</v>
      </c>
      <c r="E116" s="7" t="s">
        <v>14</v>
      </c>
      <c r="F116" s="8">
        <v>96.6</v>
      </c>
      <c r="G116" s="8">
        <v>100.46</v>
      </c>
      <c r="H116" s="9" t="s">
        <v>15</v>
      </c>
    </row>
    <row r="117" spans="1:8" ht="15" customHeight="1" x14ac:dyDescent="0.45">
      <c r="A117" s="10" t="s">
        <v>48</v>
      </c>
      <c r="B117" s="10" t="s">
        <v>46</v>
      </c>
      <c r="C117" s="10" t="s">
        <v>12</v>
      </c>
      <c r="D117" s="10" t="s">
        <v>13</v>
      </c>
      <c r="E117" s="10" t="s">
        <v>16</v>
      </c>
      <c r="F117" s="11">
        <v>53.9</v>
      </c>
      <c r="G117" s="11">
        <v>47.43</v>
      </c>
      <c r="H117" s="12" t="s">
        <v>17</v>
      </c>
    </row>
    <row r="118" spans="1:8" ht="15" customHeight="1" x14ac:dyDescent="0.45">
      <c r="A118" s="7" t="s">
        <v>48</v>
      </c>
      <c r="B118" s="7" t="s">
        <v>46</v>
      </c>
      <c r="C118" s="7" t="s">
        <v>12</v>
      </c>
      <c r="D118" s="7" t="s">
        <v>13</v>
      </c>
      <c r="E118" s="7" t="s">
        <v>18</v>
      </c>
      <c r="F118" s="8">
        <v>42</v>
      </c>
      <c r="G118" s="8">
        <v>46.2</v>
      </c>
      <c r="H118" s="9" t="s">
        <v>19</v>
      </c>
    </row>
    <row r="119" spans="1:8" ht="15" customHeight="1" x14ac:dyDescent="0.45">
      <c r="A119" s="10" t="s">
        <v>48</v>
      </c>
      <c r="B119" s="10" t="s">
        <v>46</v>
      </c>
      <c r="C119" s="10" t="s">
        <v>12</v>
      </c>
      <c r="D119" s="10" t="s">
        <v>20</v>
      </c>
      <c r="E119" s="10" t="s">
        <v>21</v>
      </c>
      <c r="F119" s="11">
        <v>84.7</v>
      </c>
      <c r="G119" s="11">
        <v>88.94</v>
      </c>
      <c r="H119" s="12" t="s">
        <v>22</v>
      </c>
    </row>
    <row r="120" spans="1:8" ht="15" customHeight="1" x14ac:dyDescent="0.45">
      <c r="A120" s="7" t="s">
        <v>48</v>
      </c>
      <c r="B120" s="7" t="s">
        <v>46</v>
      </c>
      <c r="C120" s="7" t="s">
        <v>12</v>
      </c>
      <c r="D120" s="7" t="s">
        <v>20</v>
      </c>
      <c r="E120" s="7" t="s">
        <v>23</v>
      </c>
      <c r="F120" s="8">
        <v>19.25</v>
      </c>
      <c r="G120" s="8">
        <v>19.64</v>
      </c>
      <c r="H120" s="9" t="s">
        <v>24</v>
      </c>
    </row>
    <row r="121" spans="1:8" ht="15" customHeight="1" x14ac:dyDescent="0.45">
      <c r="A121" s="10" t="s">
        <v>48</v>
      </c>
      <c r="B121" s="10" t="s">
        <v>46</v>
      </c>
      <c r="C121" s="10" t="s">
        <v>12</v>
      </c>
      <c r="D121" s="10" t="s">
        <v>20</v>
      </c>
      <c r="E121" s="10" t="s">
        <v>25</v>
      </c>
      <c r="F121" s="11">
        <v>15.75</v>
      </c>
      <c r="G121" s="11">
        <v>17.64</v>
      </c>
      <c r="H121" s="12" t="s">
        <v>26</v>
      </c>
    </row>
    <row r="122" spans="1:8" ht="15" customHeight="1" x14ac:dyDescent="0.45">
      <c r="A122" s="7" t="s">
        <v>48</v>
      </c>
      <c r="B122" s="7" t="s">
        <v>46</v>
      </c>
      <c r="C122" s="7" t="s">
        <v>12</v>
      </c>
      <c r="D122" s="7" t="s">
        <v>20</v>
      </c>
      <c r="E122" s="7" t="s">
        <v>27</v>
      </c>
      <c r="F122" s="8">
        <v>11.55</v>
      </c>
      <c r="G122" s="8">
        <v>11.9</v>
      </c>
      <c r="H122" s="9" t="s">
        <v>28</v>
      </c>
    </row>
    <row r="123" spans="1:8" ht="15" customHeight="1" x14ac:dyDescent="0.45">
      <c r="A123" s="10" t="s">
        <v>48</v>
      </c>
      <c r="B123" s="10" t="s">
        <v>46</v>
      </c>
      <c r="C123" s="10" t="s">
        <v>12</v>
      </c>
      <c r="D123" s="10" t="s">
        <v>20</v>
      </c>
      <c r="E123" s="10" t="s">
        <v>29</v>
      </c>
      <c r="F123" s="11">
        <v>7.7</v>
      </c>
      <c r="G123" s="11">
        <v>7.78</v>
      </c>
      <c r="H123" s="12" t="s">
        <v>30</v>
      </c>
    </row>
    <row r="124" spans="1:8" ht="15" customHeight="1" x14ac:dyDescent="0.45">
      <c r="A124" s="7" t="s">
        <v>49</v>
      </c>
      <c r="B124" s="7" t="s">
        <v>46</v>
      </c>
      <c r="C124" s="7" t="s">
        <v>34</v>
      </c>
      <c r="D124" s="7" t="s">
        <v>13</v>
      </c>
      <c r="E124" s="7" t="s">
        <v>14</v>
      </c>
      <c r="F124" s="8">
        <v>110.4</v>
      </c>
      <c r="G124" s="8">
        <v>113.71</v>
      </c>
      <c r="H124" s="9" t="s">
        <v>15</v>
      </c>
    </row>
    <row r="125" spans="1:8" ht="15" customHeight="1" x14ac:dyDescent="0.45">
      <c r="A125" s="10" t="s">
        <v>49</v>
      </c>
      <c r="B125" s="10" t="s">
        <v>46</v>
      </c>
      <c r="C125" s="10" t="s">
        <v>34</v>
      </c>
      <c r="D125" s="10" t="s">
        <v>13</v>
      </c>
      <c r="E125" s="10" t="s">
        <v>16</v>
      </c>
      <c r="F125" s="11">
        <v>61.6</v>
      </c>
      <c r="G125" s="11">
        <v>54.82</v>
      </c>
      <c r="H125" s="12" t="s">
        <v>17</v>
      </c>
    </row>
    <row r="126" spans="1:8" ht="15" customHeight="1" x14ac:dyDescent="0.45">
      <c r="A126" s="7" t="s">
        <v>49</v>
      </c>
      <c r="B126" s="7" t="s">
        <v>46</v>
      </c>
      <c r="C126" s="7" t="s">
        <v>34</v>
      </c>
      <c r="D126" s="7" t="s">
        <v>13</v>
      </c>
      <c r="E126" s="7" t="s">
        <v>18</v>
      </c>
      <c r="F126" s="8">
        <v>48</v>
      </c>
      <c r="G126" s="8">
        <v>53.28</v>
      </c>
      <c r="H126" s="9" t="s">
        <v>19</v>
      </c>
    </row>
    <row r="127" spans="1:8" ht="15" customHeight="1" x14ac:dyDescent="0.45">
      <c r="A127" s="10" t="s">
        <v>49</v>
      </c>
      <c r="B127" s="10" t="s">
        <v>46</v>
      </c>
      <c r="C127" s="10" t="s">
        <v>34</v>
      </c>
      <c r="D127" s="10" t="s">
        <v>20</v>
      </c>
      <c r="E127" s="10" t="s">
        <v>21</v>
      </c>
      <c r="F127" s="11">
        <v>96.8</v>
      </c>
      <c r="G127" s="11">
        <v>103.58</v>
      </c>
      <c r="H127" s="12" t="s">
        <v>22</v>
      </c>
    </row>
    <row r="128" spans="1:8" ht="15" customHeight="1" x14ac:dyDescent="0.45">
      <c r="A128" s="7" t="s">
        <v>49</v>
      </c>
      <c r="B128" s="7" t="s">
        <v>46</v>
      </c>
      <c r="C128" s="7" t="s">
        <v>34</v>
      </c>
      <c r="D128" s="7" t="s">
        <v>20</v>
      </c>
      <c r="E128" s="7" t="s">
        <v>23</v>
      </c>
      <c r="F128" s="8">
        <v>22</v>
      </c>
      <c r="G128" s="8">
        <v>22.22</v>
      </c>
      <c r="H128" s="9" t="s">
        <v>24</v>
      </c>
    </row>
    <row r="129" spans="1:8" ht="15" customHeight="1" x14ac:dyDescent="0.45">
      <c r="A129" s="10" t="s">
        <v>49</v>
      </c>
      <c r="B129" s="10" t="s">
        <v>46</v>
      </c>
      <c r="C129" s="10" t="s">
        <v>34</v>
      </c>
      <c r="D129" s="10" t="s">
        <v>20</v>
      </c>
      <c r="E129" s="10" t="s">
        <v>25</v>
      </c>
      <c r="F129" s="11">
        <v>18</v>
      </c>
      <c r="G129" s="11">
        <v>19.62</v>
      </c>
      <c r="H129" s="12" t="s">
        <v>26</v>
      </c>
    </row>
    <row r="130" spans="1:8" ht="15" customHeight="1" x14ac:dyDescent="0.45">
      <c r="A130" s="7" t="s">
        <v>49</v>
      </c>
      <c r="B130" s="7" t="s">
        <v>46</v>
      </c>
      <c r="C130" s="7" t="s">
        <v>34</v>
      </c>
      <c r="D130" s="7" t="s">
        <v>20</v>
      </c>
      <c r="E130" s="7" t="s">
        <v>27</v>
      </c>
      <c r="F130" s="8">
        <v>13.2</v>
      </c>
      <c r="G130" s="8">
        <v>13.86</v>
      </c>
      <c r="H130" s="9" t="s">
        <v>28</v>
      </c>
    </row>
    <row r="131" spans="1:8" ht="15" customHeight="1" x14ac:dyDescent="0.45">
      <c r="A131" s="10" t="s">
        <v>49</v>
      </c>
      <c r="B131" s="10" t="s">
        <v>46</v>
      </c>
      <c r="C131" s="10" t="s">
        <v>34</v>
      </c>
      <c r="D131" s="10" t="s">
        <v>20</v>
      </c>
      <c r="E131" s="10" t="s">
        <v>29</v>
      </c>
      <c r="F131" s="11">
        <v>8.8000000000000007</v>
      </c>
      <c r="G131" s="11">
        <v>8.98</v>
      </c>
      <c r="H131" s="12" t="s">
        <v>30</v>
      </c>
    </row>
    <row r="132" spans="1:8" ht="15" customHeight="1" x14ac:dyDescent="0.45">
      <c r="A132" s="7" t="s">
        <v>50</v>
      </c>
      <c r="B132" s="7" t="s">
        <v>46</v>
      </c>
      <c r="C132" s="7" t="s">
        <v>34</v>
      </c>
      <c r="D132" s="7" t="s">
        <v>13</v>
      </c>
      <c r="E132" s="7" t="s">
        <v>14</v>
      </c>
      <c r="F132" s="8">
        <v>110.4</v>
      </c>
      <c r="G132" s="8">
        <v>112.61</v>
      </c>
      <c r="H132" s="9" t="s">
        <v>15</v>
      </c>
    </row>
    <row r="133" spans="1:8" ht="15" customHeight="1" x14ac:dyDescent="0.45">
      <c r="A133" s="10" t="s">
        <v>50</v>
      </c>
      <c r="B133" s="10" t="s">
        <v>46</v>
      </c>
      <c r="C133" s="10" t="s">
        <v>34</v>
      </c>
      <c r="D133" s="10" t="s">
        <v>13</v>
      </c>
      <c r="E133" s="10" t="s">
        <v>16</v>
      </c>
      <c r="F133" s="11">
        <v>61.6</v>
      </c>
      <c r="G133" s="11">
        <v>53.59</v>
      </c>
      <c r="H133" s="12" t="s">
        <v>17</v>
      </c>
    </row>
    <row r="134" spans="1:8" ht="15" customHeight="1" x14ac:dyDescent="0.45">
      <c r="A134" s="7" t="s">
        <v>50</v>
      </c>
      <c r="B134" s="7" t="s">
        <v>46</v>
      </c>
      <c r="C134" s="7" t="s">
        <v>34</v>
      </c>
      <c r="D134" s="7" t="s">
        <v>13</v>
      </c>
      <c r="E134" s="7" t="s">
        <v>18</v>
      </c>
      <c r="F134" s="8">
        <v>48</v>
      </c>
      <c r="G134" s="8">
        <v>52.8</v>
      </c>
      <c r="H134" s="9" t="s">
        <v>19</v>
      </c>
    </row>
    <row r="135" spans="1:8" ht="15" customHeight="1" x14ac:dyDescent="0.45">
      <c r="A135" s="10" t="s">
        <v>50</v>
      </c>
      <c r="B135" s="10" t="s">
        <v>46</v>
      </c>
      <c r="C135" s="10" t="s">
        <v>34</v>
      </c>
      <c r="D135" s="10" t="s">
        <v>20</v>
      </c>
      <c r="E135" s="10" t="s">
        <v>21</v>
      </c>
      <c r="F135" s="11">
        <v>96.8</v>
      </c>
      <c r="G135" s="11">
        <v>102.61</v>
      </c>
      <c r="H135" s="12" t="s">
        <v>22</v>
      </c>
    </row>
    <row r="136" spans="1:8" ht="15" customHeight="1" x14ac:dyDescent="0.45">
      <c r="A136" s="7" t="s">
        <v>50</v>
      </c>
      <c r="B136" s="7" t="s">
        <v>46</v>
      </c>
      <c r="C136" s="7" t="s">
        <v>34</v>
      </c>
      <c r="D136" s="7" t="s">
        <v>20</v>
      </c>
      <c r="E136" s="7" t="s">
        <v>23</v>
      </c>
      <c r="F136" s="8">
        <v>22</v>
      </c>
      <c r="G136" s="8">
        <v>21.56</v>
      </c>
      <c r="H136" s="9" t="s">
        <v>24</v>
      </c>
    </row>
    <row r="137" spans="1:8" ht="15" customHeight="1" x14ac:dyDescent="0.45">
      <c r="A137" s="10" t="s">
        <v>50</v>
      </c>
      <c r="B137" s="10" t="s">
        <v>46</v>
      </c>
      <c r="C137" s="10" t="s">
        <v>34</v>
      </c>
      <c r="D137" s="10" t="s">
        <v>20</v>
      </c>
      <c r="E137" s="10" t="s">
        <v>25</v>
      </c>
      <c r="F137" s="11">
        <v>18</v>
      </c>
      <c r="G137" s="11">
        <v>19.98</v>
      </c>
      <c r="H137" s="12" t="s">
        <v>26</v>
      </c>
    </row>
    <row r="138" spans="1:8" ht="15" customHeight="1" x14ac:dyDescent="0.45">
      <c r="A138" s="7" t="s">
        <v>50</v>
      </c>
      <c r="B138" s="7" t="s">
        <v>46</v>
      </c>
      <c r="C138" s="7" t="s">
        <v>34</v>
      </c>
      <c r="D138" s="7" t="s">
        <v>20</v>
      </c>
      <c r="E138" s="7" t="s">
        <v>27</v>
      </c>
      <c r="F138" s="8">
        <v>13.2</v>
      </c>
      <c r="G138" s="8">
        <v>13.73</v>
      </c>
      <c r="H138" s="9" t="s">
        <v>28</v>
      </c>
    </row>
    <row r="139" spans="1:8" ht="15" customHeight="1" x14ac:dyDescent="0.45">
      <c r="A139" s="10" t="s">
        <v>50</v>
      </c>
      <c r="B139" s="10" t="s">
        <v>46</v>
      </c>
      <c r="C139" s="10" t="s">
        <v>34</v>
      </c>
      <c r="D139" s="10" t="s">
        <v>20</v>
      </c>
      <c r="E139" s="10" t="s">
        <v>29</v>
      </c>
      <c r="F139" s="11">
        <v>8.8000000000000007</v>
      </c>
      <c r="G139" s="11">
        <v>8.89</v>
      </c>
      <c r="H139" s="12" t="s">
        <v>30</v>
      </c>
    </row>
    <row r="140" spans="1:8" ht="15" customHeight="1" x14ac:dyDescent="0.45">
      <c r="A140" s="7" t="s">
        <v>51</v>
      </c>
      <c r="B140" s="7" t="s">
        <v>46</v>
      </c>
      <c r="C140" s="7" t="s">
        <v>34</v>
      </c>
      <c r="D140" s="7" t="s">
        <v>13</v>
      </c>
      <c r="E140" s="7" t="s">
        <v>14</v>
      </c>
      <c r="F140" s="8">
        <v>110.4</v>
      </c>
      <c r="G140" s="8">
        <v>114.82</v>
      </c>
      <c r="H140" s="9" t="s">
        <v>15</v>
      </c>
    </row>
    <row r="141" spans="1:8" ht="15" customHeight="1" x14ac:dyDescent="0.45">
      <c r="A141" s="10" t="s">
        <v>51</v>
      </c>
      <c r="B141" s="10" t="s">
        <v>46</v>
      </c>
      <c r="C141" s="10" t="s">
        <v>34</v>
      </c>
      <c r="D141" s="10" t="s">
        <v>13</v>
      </c>
      <c r="E141" s="10" t="s">
        <v>16</v>
      </c>
      <c r="F141" s="11">
        <v>61.6</v>
      </c>
      <c r="G141" s="11">
        <v>54.21</v>
      </c>
      <c r="H141" s="12" t="s">
        <v>17</v>
      </c>
    </row>
    <row r="142" spans="1:8" ht="15" customHeight="1" x14ac:dyDescent="0.45">
      <c r="A142" s="7" t="s">
        <v>51</v>
      </c>
      <c r="B142" s="7" t="s">
        <v>46</v>
      </c>
      <c r="C142" s="7" t="s">
        <v>34</v>
      </c>
      <c r="D142" s="7" t="s">
        <v>13</v>
      </c>
      <c r="E142" s="7" t="s">
        <v>18</v>
      </c>
      <c r="F142" s="8">
        <v>48</v>
      </c>
      <c r="G142" s="8">
        <v>53.76</v>
      </c>
      <c r="H142" s="9" t="s">
        <v>19</v>
      </c>
    </row>
    <row r="143" spans="1:8" ht="15" customHeight="1" x14ac:dyDescent="0.45">
      <c r="A143" s="10" t="s">
        <v>51</v>
      </c>
      <c r="B143" s="10" t="s">
        <v>46</v>
      </c>
      <c r="C143" s="10" t="s">
        <v>34</v>
      </c>
      <c r="D143" s="10" t="s">
        <v>20</v>
      </c>
      <c r="E143" s="10" t="s">
        <v>21</v>
      </c>
      <c r="F143" s="11">
        <v>96.8</v>
      </c>
      <c r="G143" s="11">
        <v>104.54</v>
      </c>
      <c r="H143" s="12" t="s">
        <v>22</v>
      </c>
    </row>
    <row r="144" spans="1:8" ht="15" customHeight="1" x14ac:dyDescent="0.45">
      <c r="A144" s="7" t="s">
        <v>51</v>
      </c>
      <c r="B144" s="7" t="s">
        <v>46</v>
      </c>
      <c r="C144" s="7" t="s">
        <v>34</v>
      </c>
      <c r="D144" s="7" t="s">
        <v>20</v>
      </c>
      <c r="E144" s="7" t="s">
        <v>23</v>
      </c>
      <c r="F144" s="8">
        <v>22</v>
      </c>
      <c r="G144" s="8">
        <v>22.44</v>
      </c>
      <c r="H144" s="9" t="s">
        <v>24</v>
      </c>
    </row>
    <row r="145" spans="1:8" ht="15" customHeight="1" x14ac:dyDescent="0.45">
      <c r="A145" s="10" t="s">
        <v>51</v>
      </c>
      <c r="B145" s="10" t="s">
        <v>46</v>
      </c>
      <c r="C145" s="10" t="s">
        <v>34</v>
      </c>
      <c r="D145" s="10" t="s">
        <v>20</v>
      </c>
      <c r="E145" s="10" t="s">
        <v>25</v>
      </c>
      <c r="F145" s="11">
        <v>18</v>
      </c>
      <c r="G145" s="11">
        <v>20.34</v>
      </c>
      <c r="H145" s="12" t="s">
        <v>26</v>
      </c>
    </row>
    <row r="146" spans="1:8" ht="15" customHeight="1" x14ac:dyDescent="0.45">
      <c r="A146" s="7" t="s">
        <v>51</v>
      </c>
      <c r="B146" s="7" t="s">
        <v>46</v>
      </c>
      <c r="C146" s="7" t="s">
        <v>34</v>
      </c>
      <c r="D146" s="7" t="s">
        <v>20</v>
      </c>
      <c r="E146" s="7" t="s">
        <v>27</v>
      </c>
      <c r="F146" s="8">
        <v>13.2</v>
      </c>
      <c r="G146" s="8">
        <v>13.73</v>
      </c>
      <c r="H146" s="9" t="s">
        <v>28</v>
      </c>
    </row>
    <row r="147" spans="1:8" ht="15" customHeight="1" x14ac:dyDescent="0.45">
      <c r="A147" s="10" t="s">
        <v>51</v>
      </c>
      <c r="B147" s="10" t="s">
        <v>46</v>
      </c>
      <c r="C147" s="10" t="s">
        <v>34</v>
      </c>
      <c r="D147" s="10" t="s">
        <v>20</v>
      </c>
      <c r="E147" s="10" t="s">
        <v>29</v>
      </c>
      <c r="F147" s="11">
        <v>8.8000000000000007</v>
      </c>
      <c r="G147" s="11">
        <v>8.8000000000000007</v>
      </c>
      <c r="H147" s="12" t="s">
        <v>30</v>
      </c>
    </row>
    <row r="148" spans="1:8" ht="15" customHeight="1" x14ac:dyDescent="0.45">
      <c r="A148" s="7" t="s">
        <v>52</v>
      </c>
      <c r="B148" s="7" t="s">
        <v>46</v>
      </c>
      <c r="C148" s="7" t="s">
        <v>38</v>
      </c>
      <c r="D148" s="7" t="s">
        <v>13</v>
      </c>
      <c r="E148" s="7" t="s">
        <v>14</v>
      </c>
      <c r="F148" s="8">
        <v>138</v>
      </c>
      <c r="G148" s="8">
        <v>144.9</v>
      </c>
      <c r="H148" s="9" t="s">
        <v>15</v>
      </c>
    </row>
    <row r="149" spans="1:8" ht="15" customHeight="1" x14ac:dyDescent="0.45">
      <c r="A149" s="10" t="s">
        <v>52</v>
      </c>
      <c r="B149" s="10" t="s">
        <v>46</v>
      </c>
      <c r="C149" s="10" t="s">
        <v>38</v>
      </c>
      <c r="D149" s="10" t="s">
        <v>13</v>
      </c>
      <c r="E149" s="10" t="s">
        <v>16</v>
      </c>
      <c r="F149" s="11">
        <v>77</v>
      </c>
      <c r="G149" s="11">
        <v>66.22</v>
      </c>
      <c r="H149" s="12" t="s">
        <v>17</v>
      </c>
    </row>
    <row r="150" spans="1:8" ht="15" customHeight="1" x14ac:dyDescent="0.45">
      <c r="A150" s="7" t="s">
        <v>52</v>
      </c>
      <c r="B150" s="7" t="s">
        <v>46</v>
      </c>
      <c r="C150" s="7" t="s">
        <v>38</v>
      </c>
      <c r="D150" s="7" t="s">
        <v>13</v>
      </c>
      <c r="E150" s="7" t="s">
        <v>18</v>
      </c>
      <c r="F150" s="8">
        <v>60</v>
      </c>
      <c r="G150" s="8">
        <v>67.8</v>
      </c>
      <c r="H150" s="9" t="s">
        <v>19</v>
      </c>
    </row>
    <row r="151" spans="1:8" ht="15" customHeight="1" x14ac:dyDescent="0.45">
      <c r="A151" s="10" t="s">
        <v>52</v>
      </c>
      <c r="B151" s="10" t="s">
        <v>46</v>
      </c>
      <c r="C151" s="10" t="s">
        <v>38</v>
      </c>
      <c r="D151" s="10" t="s">
        <v>20</v>
      </c>
      <c r="E151" s="10" t="s">
        <v>21</v>
      </c>
      <c r="F151" s="11">
        <v>121</v>
      </c>
      <c r="G151" s="11">
        <v>129.47</v>
      </c>
      <c r="H151" s="12" t="s">
        <v>22</v>
      </c>
    </row>
    <row r="152" spans="1:8" ht="15" customHeight="1" x14ac:dyDescent="0.45">
      <c r="A152" s="7" t="s">
        <v>52</v>
      </c>
      <c r="B152" s="7" t="s">
        <v>46</v>
      </c>
      <c r="C152" s="7" t="s">
        <v>38</v>
      </c>
      <c r="D152" s="7" t="s">
        <v>20</v>
      </c>
      <c r="E152" s="7" t="s">
        <v>23</v>
      </c>
      <c r="F152" s="8">
        <v>27.5</v>
      </c>
      <c r="G152" s="8">
        <v>28.32</v>
      </c>
      <c r="H152" s="9" t="s">
        <v>24</v>
      </c>
    </row>
    <row r="153" spans="1:8" ht="15" customHeight="1" x14ac:dyDescent="0.45">
      <c r="A153" s="10" t="s">
        <v>52</v>
      </c>
      <c r="B153" s="10" t="s">
        <v>46</v>
      </c>
      <c r="C153" s="10" t="s">
        <v>38</v>
      </c>
      <c r="D153" s="10" t="s">
        <v>20</v>
      </c>
      <c r="E153" s="10" t="s">
        <v>25</v>
      </c>
      <c r="F153" s="11">
        <v>22.5</v>
      </c>
      <c r="G153" s="11">
        <v>24.75</v>
      </c>
      <c r="H153" s="12" t="s">
        <v>26</v>
      </c>
    </row>
    <row r="154" spans="1:8" ht="15" customHeight="1" x14ac:dyDescent="0.45">
      <c r="A154" s="7" t="s">
        <v>52</v>
      </c>
      <c r="B154" s="7" t="s">
        <v>46</v>
      </c>
      <c r="C154" s="7" t="s">
        <v>38</v>
      </c>
      <c r="D154" s="7" t="s">
        <v>20</v>
      </c>
      <c r="E154" s="7" t="s">
        <v>27</v>
      </c>
      <c r="F154" s="8">
        <v>16.5</v>
      </c>
      <c r="G154" s="8">
        <v>17.32</v>
      </c>
      <c r="H154" s="9" t="s">
        <v>28</v>
      </c>
    </row>
    <row r="155" spans="1:8" ht="15" customHeight="1" x14ac:dyDescent="0.45">
      <c r="A155" s="10" t="s">
        <v>52</v>
      </c>
      <c r="B155" s="10" t="s">
        <v>46</v>
      </c>
      <c r="C155" s="10" t="s">
        <v>38</v>
      </c>
      <c r="D155" s="10" t="s">
        <v>20</v>
      </c>
      <c r="E155" s="10" t="s">
        <v>29</v>
      </c>
      <c r="F155" s="11">
        <v>11</v>
      </c>
      <c r="G155" s="11">
        <v>11.11</v>
      </c>
      <c r="H155" s="12" t="s">
        <v>30</v>
      </c>
    </row>
    <row r="156" spans="1:8" ht="15" customHeight="1" x14ac:dyDescent="0.45">
      <c r="A156" s="7" t="s">
        <v>53</v>
      </c>
      <c r="B156" s="7" t="s">
        <v>46</v>
      </c>
      <c r="C156" s="7" t="s">
        <v>38</v>
      </c>
      <c r="D156" s="7" t="s">
        <v>13</v>
      </c>
      <c r="E156" s="7" t="s">
        <v>14</v>
      </c>
      <c r="F156" s="8">
        <v>151.80000000000001</v>
      </c>
      <c r="G156" s="8">
        <v>160.91</v>
      </c>
      <c r="H156" s="9" t="s">
        <v>15</v>
      </c>
    </row>
    <row r="157" spans="1:8" ht="15" customHeight="1" x14ac:dyDescent="0.45">
      <c r="A157" s="10" t="s">
        <v>53</v>
      </c>
      <c r="B157" s="10" t="s">
        <v>46</v>
      </c>
      <c r="C157" s="10" t="s">
        <v>38</v>
      </c>
      <c r="D157" s="10" t="s">
        <v>13</v>
      </c>
      <c r="E157" s="10" t="s">
        <v>16</v>
      </c>
      <c r="F157" s="11">
        <v>84.7</v>
      </c>
      <c r="G157" s="11">
        <v>73.69</v>
      </c>
      <c r="H157" s="12" t="s">
        <v>17</v>
      </c>
    </row>
    <row r="158" spans="1:8" ht="15" customHeight="1" x14ac:dyDescent="0.45">
      <c r="A158" s="7" t="s">
        <v>53</v>
      </c>
      <c r="B158" s="7" t="s">
        <v>46</v>
      </c>
      <c r="C158" s="7" t="s">
        <v>38</v>
      </c>
      <c r="D158" s="7" t="s">
        <v>13</v>
      </c>
      <c r="E158" s="7" t="s">
        <v>18</v>
      </c>
      <c r="F158" s="8">
        <v>66</v>
      </c>
      <c r="G158" s="8">
        <v>73.92</v>
      </c>
      <c r="H158" s="9" t="s">
        <v>19</v>
      </c>
    </row>
    <row r="159" spans="1:8" ht="15" customHeight="1" x14ac:dyDescent="0.45">
      <c r="A159" s="10" t="s">
        <v>53</v>
      </c>
      <c r="B159" s="10" t="s">
        <v>46</v>
      </c>
      <c r="C159" s="10" t="s">
        <v>38</v>
      </c>
      <c r="D159" s="10" t="s">
        <v>20</v>
      </c>
      <c r="E159" s="10" t="s">
        <v>21</v>
      </c>
      <c r="F159" s="11">
        <v>133.1</v>
      </c>
      <c r="G159" s="11">
        <v>145.08000000000001</v>
      </c>
      <c r="H159" s="12" t="s">
        <v>22</v>
      </c>
    </row>
    <row r="160" spans="1:8" ht="15" customHeight="1" x14ac:dyDescent="0.45">
      <c r="A160" s="7" t="s">
        <v>53</v>
      </c>
      <c r="B160" s="7" t="s">
        <v>46</v>
      </c>
      <c r="C160" s="7" t="s">
        <v>38</v>
      </c>
      <c r="D160" s="7" t="s">
        <v>20</v>
      </c>
      <c r="E160" s="7" t="s">
        <v>23</v>
      </c>
      <c r="F160" s="8">
        <v>30.25</v>
      </c>
      <c r="G160" s="8">
        <v>30.86</v>
      </c>
      <c r="H160" s="9" t="s">
        <v>24</v>
      </c>
    </row>
    <row r="161" spans="1:8" ht="15" customHeight="1" x14ac:dyDescent="0.45">
      <c r="A161" s="10" t="s">
        <v>53</v>
      </c>
      <c r="B161" s="10" t="s">
        <v>46</v>
      </c>
      <c r="C161" s="10" t="s">
        <v>38</v>
      </c>
      <c r="D161" s="10" t="s">
        <v>20</v>
      </c>
      <c r="E161" s="10" t="s">
        <v>25</v>
      </c>
      <c r="F161" s="11">
        <v>24.75</v>
      </c>
      <c r="G161" s="11">
        <v>27.72</v>
      </c>
      <c r="H161" s="12" t="s">
        <v>26</v>
      </c>
    </row>
    <row r="162" spans="1:8" ht="15" customHeight="1" x14ac:dyDescent="0.45">
      <c r="A162" s="7" t="s">
        <v>53</v>
      </c>
      <c r="B162" s="7" t="s">
        <v>46</v>
      </c>
      <c r="C162" s="7" t="s">
        <v>38</v>
      </c>
      <c r="D162" s="7" t="s">
        <v>20</v>
      </c>
      <c r="E162" s="7" t="s">
        <v>27</v>
      </c>
      <c r="F162" s="8">
        <v>18.149999999999999</v>
      </c>
      <c r="G162" s="8">
        <v>19.239999999999998</v>
      </c>
      <c r="H162" s="9" t="s">
        <v>28</v>
      </c>
    </row>
    <row r="163" spans="1:8" ht="15" customHeight="1" x14ac:dyDescent="0.45">
      <c r="A163" s="10" t="s">
        <v>53</v>
      </c>
      <c r="B163" s="10" t="s">
        <v>46</v>
      </c>
      <c r="C163" s="10" t="s">
        <v>38</v>
      </c>
      <c r="D163" s="10" t="s">
        <v>20</v>
      </c>
      <c r="E163" s="10" t="s">
        <v>29</v>
      </c>
      <c r="F163" s="11">
        <v>12.1</v>
      </c>
      <c r="G163" s="11">
        <v>12.34</v>
      </c>
      <c r="H163" s="12" t="s">
        <v>30</v>
      </c>
    </row>
    <row r="164" spans="1:8" ht="15" customHeight="1" x14ac:dyDescent="0.45">
      <c r="A164" s="7" t="s">
        <v>54</v>
      </c>
      <c r="B164" s="7" t="s">
        <v>46</v>
      </c>
      <c r="C164" s="7" t="s">
        <v>38</v>
      </c>
      <c r="D164" s="7" t="s">
        <v>13</v>
      </c>
      <c r="E164" s="7" t="s">
        <v>14</v>
      </c>
      <c r="F164" s="8">
        <v>138</v>
      </c>
      <c r="G164" s="8">
        <v>143.52000000000001</v>
      </c>
      <c r="H164" s="9" t="s">
        <v>15</v>
      </c>
    </row>
    <row r="165" spans="1:8" ht="15" customHeight="1" x14ac:dyDescent="0.45">
      <c r="A165" s="10" t="s">
        <v>54</v>
      </c>
      <c r="B165" s="10" t="s">
        <v>46</v>
      </c>
      <c r="C165" s="10" t="s">
        <v>38</v>
      </c>
      <c r="D165" s="10" t="s">
        <v>13</v>
      </c>
      <c r="E165" s="10" t="s">
        <v>16</v>
      </c>
      <c r="F165" s="11">
        <v>77</v>
      </c>
      <c r="G165" s="11">
        <v>65.45</v>
      </c>
      <c r="H165" s="12" t="s">
        <v>17</v>
      </c>
    </row>
    <row r="166" spans="1:8" ht="15" customHeight="1" x14ac:dyDescent="0.45">
      <c r="A166" s="7" t="s">
        <v>54</v>
      </c>
      <c r="B166" s="7" t="s">
        <v>46</v>
      </c>
      <c r="C166" s="7" t="s">
        <v>38</v>
      </c>
      <c r="D166" s="7" t="s">
        <v>13</v>
      </c>
      <c r="E166" s="7" t="s">
        <v>18</v>
      </c>
      <c r="F166" s="8">
        <v>60</v>
      </c>
      <c r="G166" s="8">
        <v>66.599999999999994</v>
      </c>
      <c r="H166" s="9" t="s">
        <v>19</v>
      </c>
    </row>
    <row r="167" spans="1:8" ht="15" customHeight="1" x14ac:dyDescent="0.45">
      <c r="A167" s="10" t="s">
        <v>54</v>
      </c>
      <c r="B167" s="10" t="s">
        <v>46</v>
      </c>
      <c r="C167" s="10" t="s">
        <v>38</v>
      </c>
      <c r="D167" s="10" t="s">
        <v>20</v>
      </c>
      <c r="E167" s="10" t="s">
        <v>21</v>
      </c>
      <c r="F167" s="11">
        <v>121</v>
      </c>
      <c r="G167" s="11">
        <v>130.68</v>
      </c>
      <c r="H167" s="12" t="s">
        <v>22</v>
      </c>
    </row>
    <row r="168" spans="1:8" ht="15" customHeight="1" x14ac:dyDescent="0.45">
      <c r="A168" s="7" t="s">
        <v>54</v>
      </c>
      <c r="B168" s="7" t="s">
        <v>46</v>
      </c>
      <c r="C168" s="7" t="s">
        <v>38</v>
      </c>
      <c r="D168" s="7" t="s">
        <v>20</v>
      </c>
      <c r="E168" s="7" t="s">
        <v>23</v>
      </c>
      <c r="F168" s="8">
        <v>27.5</v>
      </c>
      <c r="G168" s="8">
        <v>27.23</v>
      </c>
      <c r="H168" s="9" t="s">
        <v>24</v>
      </c>
    </row>
    <row r="169" spans="1:8" ht="15" customHeight="1" x14ac:dyDescent="0.45">
      <c r="A169" s="10" t="s">
        <v>54</v>
      </c>
      <c r="B169" s="10" t="s">
        <v>46</v>
      </c>
      <c r="C169" s="10" t="s">
        <v>38</v>
      </c>
      <c r="D169" s="10" t="s">
        <v>20</v>
      </c>
      <c r="E169" s="10" t="s">
        <v>25</v>
      </c>
      <c r="F169" s="11">
        <v>22.5</v>
      </c>
      <c r="G169" s="11">
        <v>24.98</v>
      </c>
      <c r="H169" s="12" t="s">
        <v>26</v>
      </c>
    </row>
    <row r="170" spans="1:8" ht="15" customHeight="1" x14ac:dyDescent="0.45">
      <c r="A170" s="7" t="s">
        <v>54</v>
      </c>
      <c r="B170" s="7" t="s">
        <v>46</v>
      </c>
      <c r="C170" s="7" t="s">
        <v>38</v>
      </c>
      <c r="D170" s="7" t="s">
        <v>20</v>
      </c>
      <c r="E170" s="7" t="s">
        <v>27</v>
      </c>
      <c r="F170" s="8">
        <v>16.5</v>
      </c>
      <c r="G170" s="8">
        <v>17.16</v>
      </c>
      <c r="H170" s="9" t="s">
        <v>28</v>
      </c>
    </row>
    <row r="171" spans="1:8" ht="15" customHeight="1" x14ac:dyDescent="0.45">
      <c r="A171" s="10" t="s">
        <v>54</v>
      </c>
      <c r="B171" s="10" t="s">
        <v>46</v>
      </c>
      <c r="C171" s="10" t="s">
        <v>38</v>
      </c>
      <c r="D171" s="10" t="s">
        <v>20</v>
      </c>
      <c r="E171" s="10" t="s">
        <v>29</v>
      </c>
      <c r="F171" s="11">
        <v>11</v>
      </c>
      <c r="G171" s="11">
        <v>11.11</v>
      </c>
      <c r="H171" s="12" t="s">
        <v>30</v>
      </c>
    </row>
    <row r="172" spans="1:8" ht="15" customHeight="1" x14ac:dyDescent="0.45">
      <c r="A172" s="7" t="s">
        <v>55</v>
      </c>
      <c r="B172" s="7" t="s">
        <v>46</v>
      </c>
      <c r="C172" s="7" t="s">
        <v>42</v>
      </c>
      <c r="D172" s="7" t="s">
        <v>13</v>
      </c>
      <c r="E172" s="7" t="s">
        <v>14</v>
      </c>
      <c r="F172" s="8">
        <v>124.2</v>
      </c>
      <c r="G172" s="8">
        <v>130.41</v>
      </c>
      <c r="H172" s="9" t="s">
        <v>15</v>
      </c>
    </row>
    <row r="173" spans="1:8" ht="15" customHeight="1" x14ac:dyDescent="0.45">
      <c r="A173" s="10" t="s">
        <v>55</v>
      </c>
      <c r="B173" s="10" t="s">
        <v>46</v>
      </c>
      <c r="C173" s="10" t="s">
        <v>42</v>
      </c>
      <c r="D173" s="10" t="s">
        <v>13</v>
      </c>
      <c r="E173" s="10" t="s">
        <v>16</v>
      </c>
      <c r="F173" s="11">
        <v>69.3</v>
      </c>
      <c r="G173" s="11">
        <v>59.6</v>
      </c>
      <c r="H173" s="12" t="s">
        <v>17</v>
      </c>
    </row>
    <row r="174" spans="1:8" ht="15" customHeight="1" x14ac:dyDescent="0.45">
      <c r="A174" s="7" t="s">
        <v>55</v>
      </c>
      <c r="B174" s="7" t="s">
        <v>46</v>
      </c>
      <c r="C174" s="7" t="s">
        <v>42</v>
      </c>
      <c r="D174" s="7" t="s">
        <v>13</v>
      </c>
      <c r="E174" s="7" t="s">
        <v>18</v>
      </c>
      <c r="F174" s="8">
        <v>54</v>
      </c>
      <c r="G174" s="8">
        <v>61.02</v>
      </c>
      <c r="H174" s="9" t="s">
        <v>19</v>
      </c>
    </row>
    <row r="175" spans="1:8" ht="15" customHeight="1" x14ac:dyDescent="0.45">
      <c r="A175" s="10" t="s">
        <v>55</v>
      </c>
      <c r="B175" s="10" t="s">
        <v>46</v>
      </c>
      <c r="C175" s="10" t="s">
        <v>42</v>
      </c>
      <c r="D175" s="10" t="s">
        <v>20</v>
      </c>
      <c r="E175" s="10" t="s">
        <v>21</v>
      </c>
      <c r="F175" s="11">
        <v>108.9</v>
      </c>
      <c r="G175" s="11">
        <v>118.7</v>
      </c>
      <c r="H175" s="12" t="s">
        <v>22</v>
      </c>
    </row>
    <row r="176" spans="1:8" ht="15" customHeight="1" x14ac:dyDescent="0.45">
      <c r="A176" s="7" t="s">
        <v>55</v>
      </c>
      <c r="B176" s="7" t="s">
        <v>46</v>
      </c>
      <c r="C176" s="7" t="s">
        <v>42</v>
      </c>
      <c r="D176" s="7" t="s">
        <v>20</v>
      </c>
      <c r="E176" s="7" t="s">
        <v>23</v>
      </c>
      <c r="F176" s="8">
        <v>24.75</v>
      </c>
      <c r="G176" s="8">
        <v>25.25</v>
      </c>
      <c r="H176" s="9" t="s">
        <v>24</v>
      </c>
    </row>
    <row r="177" spans="1:8" ht="15" customHeight="1" x14ac:dyDescent="0.45">
      <c r="A177" s="10" t="s">
        <v>55</v>
      </c>
      <c r="B177" s="10" t="s">
        <v>46</v>
      </c>
      <c r="C177" s="10" t="s">
        <v>42</v>
      </c>
      <c r="D177" s="10" t="s">
        <v>20</v>
      </c>
      <c r="E177" s="10" t="s">
        <v>25</v>
      </c>
      <c r="F177" s="11">
        <v>20.25</v>
      </c>
      <c r="G177" s="11">
        <v>22.07</v>
      </c>
      <c r="H177" s="12" t="s">
        <v>26</v>
      </c>
    </row>
    <row r="178" spans="1:8" ht="15" customHeight="1" x14ac:dyDescent="0.45">
      <c r="A178" s="7" t="s">
        <v>55</v>
      </c>
      <c r="B178" s="7" t="s">
        <v>46</v>
      </c>
      <c r="C178" s="7" t="s">
        <v>42</v>
      </c>
      <c r="D178" s="7" t="s">
        <v>20</v>
      </c>
      <c r="E178" s="7" t="s">
        <v>27</v>
      </c>
      <c r="F178" s="8">
        <v>14.85</v>
      </c>
      <c r="G178" s="8">
        <v>15.59</v>
      </c>
      <c r="H178" s="9" t="s">
        <v>28</v>
      </c>
    </row>
    <row r="179" spans="1:8" ht="15" customHeight="1" x14ac:dyDescent="0.45">
      <c r="A179" s="10" t="s">
        <v>55</v>
      </c>
      <c r="B179" s="10" t="s">
        <v>46</v>
      </c>
      <c r="C179" s="10" t="s">
        <v>42</v>
      </c>
      <c r="D179" s="10" t="s">
        <v>20</v>
      </c>
      <c r="E179" s="10" t="s">
        <v>29</v>
      </c>
      <c r="F179" s="11">
        <v>9.9</v>
      </c>
      <c r="G179" s="11">
        <v>10</v>
      </c>
      <c r="H179" s="12" t="s">
        <v>30</v>
      </c>
    </row>
    <row r="180" spans="1:8" ht="15" customHeight="1" x14ac:dyDescent="0.45">
      <c r="A180" s="7" t="s">
        <v>56</v>
      </c>
      <c r="B180" s="7" t="s">
        <v>46</v>
      </c>
      <c r="C180" s="7" t="s">
        <v>42</v>
      </c>
      <c r="D180" s="7" t="s">
        <v>13</v>
      </c>
      <c r="E180" s="7" t="s">
        <v>14</v>
      </c>
      <c r="F180" s="8">
        <v>110.4</v>
      </c>
      <c r="G180" s="8">
        <v>114.82</v>
      </c>
      <c r="H180" s="9" t="s">
        <v>15</v>
      </c>
    </row>
    <row r="181" spans="1:8" ht="15" customHeight="1" x14ac:dyDescent="0.45">
      <c r="A181" s="10" t="s">
        <v>56</v>
      </c>
      <c r="B181" s="10" t="s">
        <v>46</v>
      </c>
      <c r="C181" s="10" t="s">
        <v>42</v>
      </c>
      <c r="D181" s="10" t="s">
        <v>13</v>
      </c>
      <c r="E181" s="10" t="s">
        <v>16</v>
      </c>
      <c r="F181" s="11">
        <v>61.6</v>
      </c>
      <c r="G181" s="11">
        <v>51.74</v>
      </c>
      <c r="H181" s="12" t="s">
        <v>17</v>
      </c>
    </row>
    <row r="182" spans="1:8" ht="15" customHeight="1" x14ac:dyDescent="0.45">
      <c r="A182" s="7" t="s">
        <v>56</v>
      </c>
      <c r="B182" s="7" t="s">
        <v>46</v>
      </c>
      <c r="C182" s="7" t="s">
        <v>42</v>
      </c>
      <c r="D182" s="7" t="s">
        <v>13</v>
      </c>
      <c r="E182" s="7" t="s">
        <v>18</v>
      </c>
      <c r="F182" s="8">
        <v>48</v>
      </c>
      <c r="G182" s="8">
        <v>53.76</v>
      </c>
      <c r="H182" s="9" t="s">
        <v>19</v>
      </c>
    </row>
    <row r="183" spans="1:8" ht="15" customHeight="1" x14ac:dyDescent="0.45">
      <c r="A183" s="10" t="s">
        <v>56</v>
      </c>
      <c r="B183" s="10" t="s">
        <v>46</v>
      </c>
      <c r="C183" s="10" t="s">
        <v>42</v>
      </c>
      <c r="D183" s="10" t="s">
        <v>20</v>
      </c>
      <c r="E183" s="10" t="s">
        <v>21</v>
      </c>
      <c r="F183" s="11">
        <v>96.8</v>
      </c>
      <c r="G183" s="11">
        <v>104.54</v>
      </c>
      <c r="H183" s="12" t="s">
        <v>22</v>
      </c>
    </row>
    <row r="184" spans="1:8" ht="15" customHeight="1" x14ac:dyDescent="0.45">
      <c r="A184" s="7" t="s">
        <v>56</v>
      </c>
      <c r="B184" s="7" t="s">
        <v>46</v>
      </c>
      <c r="C184" s="7" t="s">
        <v>42</v>
      </c>
      <c r="D184" s="7" t="s">
        <v>20</v>
      </c>
      <c r="E184" s="7" t="s">
        <v>23</v>
      </c>
      <c r="F184" s="8">
        <v>22</v>
      </c>
      <c r="G184" s="8">
        <v>22.22</v>
      </c>
      <c r="H184" s="9" t="s">
        <v>24</v>
      </c>
    </row>
    <row r="185" spans="1:8" ht="15" customHeight="1" x14ac:dyDescent="0.45">
      <c r="A185" s="10" t="s">
        <v>56</v>
      </c>
      <c r="B185" s="10" t="s">
        <v>46</v>
      </c>
      <c r="C185" s="10" t="s">
        <v>42</v>
      </c>
      <c r="D185" s="10" t="s">
        <v>20</v>
      </c>
      <c r="E185" s="10" t="s">
        <v>25</v>
      </c>
      <c r="F185" s="11">
        <v>18</v>
      </c>
      <c r="G185" s="11">
        <v>19.8</v>
      </c>
      <c r="H185" s="12" t="s">
        <v>26</v>
      </c>
    </row>
    <row r="186" spans="1:8" ht="15" customHeight="1" x14ac:dyDescent="0.45">
      <c r="A186" s="7" t="s">
        <v>56</v>
      </c>
      <c r="B186" s="7" t="s">
        <v>46</v>
      </c>
      <c r="C186" s="7" t="s">
        <v>42</v>
      </c>
      <c r="D186" s="7" t="s">
        <v>20</v>
      </c>
      <c r="E186" s="7" t="s">
        <v>27</v>
      </c>
      <c r="F186" s="8">
        <v>13.2</v>
      </c>
      <c r="G186" s="8">
        <v>13.73</v>
      </c>
      <c r="H186" s="9" t="s">
        <v>28</v>
      </c>
    </row>
    <row r="187" spans="1:8" ht="15" customHeight="1" x14ac:dyDescent="0.45">
      <c r="A187" s="10" t="s">
        <v>56</v>
      </c>
      <c r="B187" s="10" t="s">
        <v>46</v>
      </c>
      <c r="C187" s="10" t="s">
        <v>42</v>
      </c>
      <c r="D187" s="10" t="s">
        <v>20</v>
      </c>
      <c r="E187" s="10" t="s">
        <v>29</v>
      </c>
      <c r="F187" s="11">
        <v>8.8000000000000007</v>
      </c>
      <c r="G187" s="11">
        <v>8.8000000000000007</v>
      </c>
      <c r="H187" s="12" t="s">
        <v>30</v>
      </c>
    </row>
    <row r="188" spans="1:8" ht="15" customHeight="1" x14ac:dyDescent="0.45">
      <c r="A188" s="7" t="s">
        <v>57</v>
      </c>
      <c r="B188" s="7" t="s">
        <v>46</v>
      </c>
      <c r="C188" s="7" t="s">
        <v>42</v>
      </c>
      <c r="D188" s="7" t="s">
        <v>13</v>
      </c>
      <c r="E188" s="7" t="s">
        <v>14</v>
      </c>
      <c r="F188" s="8">
        <v>96.6</v>
      </c>
      <c r="G188" s="8">
        <v>102.4</v>
      </c>
      <c r="H188" s="9" t="s">
        <v>15</v>
      </c>
    </row>
    <row r="189" spans="1:8" ht="15" customHeight="1" x14ac:dyDescent="0.45">
      <c r="A189" s="10" t="s">
        <v>57</v>
      </c>
      <c r="B189" s="10" t="s">
        <v>46</v>
      </c>
      <c r="C189" s="10" t="s">
        <v>42</v>
      </c>
      <c r="D189" s="10" t="s">
        <v>13</v>
      </c>
      <c r="E189" s="10" t="s">
        <v>16</v>
      </c>
      <c r="F189" s="11">
        <v>53.9</v>
      </c>
      <c r="G189" s="11">
        <v>44.2</v>
      </c>
      <c r="H189" s="12" t="s">
        <v>17</v>
      </c>
    </row>
    <row r="190" spans="1:8" ht="15" customHeight="1" x14ac:dyDescent="0.45">
      <c r="A190" s="7" t="s">
        <v>57</v>
      </c>
      <c r="B190" s="7" t="s">
        <v>46</v>
      </c>
      <c r="C190" s="7" t="s">
        <v>42</v>
      </c>
      <c r="D190" s="7" t="s">
        <v>13</v>
      </c>
      <c r="E190" s="7" t="s">
        <v>18</v>
      </c>
      <c r="F190" s="8">
        <v>42</v>
      </c>
      <c r="G190" s="8">
        <v>47.88</v>
      </c>
      <c r="H190" s="9" t="s">
        <v>19</v>
      </c>
    </row>
    <row r="191" spans="1:8" ht="15" customHeight="1" x14ac:dyDescent="0.45">
      <c r="A191" s="10" t="s">
        <v>57</v>
      </c>
      <c r="B191" s="10" t="s">
        <v>46</v>
      </c>
      <c r="C191" s="10" t="s">
        <v>42</v>
      </c>
      <c r="D191" s="10" t="s">
        <v>20</v>
      </c>
      <c r="E191" s="10" t="s">
        <v>21</v>
      </c>
      <c r="F191" s="11">
        <v>84.7</v>
      </c>
      <c r="G191" s="11">
        <v>93.17</v>
      </c>
      <c r="H191" s="12" t="s">
        <v>22</v>
      </c>
    </row>
    <row r="192" spans="1:8" ht="15" customHeight="1" x14ac:dyDescent="0.45">
      <c r="A192" s="7" t="s">
        <v>57</v>
      </c>
      <c r="B192" s="7" t="s">
        <v>46</v>
      </c>
      <c r="C192" s="7" t="s">
        <v>42</v>
      </c>
      <c r="D192" s="7" t="s">
        <v>20</v>
      </c>
      <c r="E192" s="7" t="s">
        <v>23</v>
      </c>
      <c r="F192" s="8">
        <v>19.25</v>
      </c>
      <c r="G192" s="8">
        <v>19.829999999999998</v>
      </c>
      <c r="H192" s="9" t="s">
        <v>24</v>
      </c>
    </row>
    <row r="193" spans="1:8" ht="15" customHeight="1" x14ac:dyDescent="0.45">
      <c r="A193" s="10" t="s">
        <v>57</v>
      </c>
      <c r="B193" s="10" t="s">
        <v>46</v>
      </c>
      <c r="C193" s="10" t="s">
        <v>42</v>
      </c>
      <c r="D193" s="10" t="s">
        <v>20</v>
      </c>
      <c r="E193" s="10" t="s">
        <v>25</v>
      </c>
      <c r="F193" s="11">
        <v>15.75</v>
      </c>
      <c r="G193" s="11">
        <v>17.010000000000002</v>
      </c>
      <c r="H193" s="12" t="s">
        <v>26</v>
      </c>
    </row>
    <row r="194" spans="1:8" ht="15" customHeight="1" x14ac:dyDescent="0.45">
      <c r="A194" s="7" t="s">
        <v>57</v>
      </c>
      <c r="B194" s="7" t="s">
        <v>46</v>
      </c>
      <c r="C194" s="7" t="s">
        <v>42</v>
      </c>
      <c r="D194" s="7" t="s">
        <v>20</v>
      </c>
      <c r="E194" s="7" t="s">
        <v>27</v>
      </c>
      <c r="F194" s="8">
        <v>11.55</v>
      </c>
      <c r="G194" s="8">
        <v>12.24</v>
      </c>
      <c r="H194" s="9" t="s">
        <v>28</v>
      </c>
    </row>
    <row r="195" spans="1:8" ht="15" customHeight="1" x14ac:dyDescent="0.45">
      <c r="A195" s="10" t="s">
        <v>57</v>
      </c>
      <c r="B195" s="10" t="s">
        <v>46</v>
      </c>
      <c r="C195" s="10" t="s">
        <v>42</v>
      </c>
      <c r="D195" s="10" t="s">
        <v>20</v>
      </c>
      <c r="E195" s="10" t="s">
        <v>29</v>
      </c>
      <c r="F195" s="11">
        <v>7.7</v>
      </c>
      <c r="G195" s="11">
        <v>7.85</v>
      </c>
      <c r="H195" s="12" t="s">
        <v>30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493DB-6995-4CE7-B0A6-16B9E3CDB8CC}">
  <dimension ref="A1:H192"/>
  <sheetViews>
    <sheetView workbookViewId="0">
      <selection activeCell="E17" sqref="E17"/>
    </sheetView>
  </sheetViews>
  <sheetFormatPr defaultRowHeight="14.25" x14ac:dyDescent="0.45"/>
  <cols>
    <col min="1" max="1" width="7.9296875" style="86" bestFit="1" customWidth="1"/>
    <col min="2" max="2" width="4.86328125" style="86" bestFit="1" customWidth="1"/>
    <col min="3" max="3" width="9.06640625" style="86"/>
    <col min="4" max="4" width="10.06640625" style="86" bestFit="1" customWidth="1"/>
    <col min="5" max="5" width="13.796875" style="86" bestFit="1" customWidth="1"/>
    <col min="6" max="6" width="12.19921875" style="86" bestFit="1" customWidth="1"/>
    <col min="7" max="7" width="11.73046875" style="86" bestFit="1" customWidth="1"/>
    <col min="8" max="9" width="79.46484375" style="86" bestFit="1" customWidth="1"/>
    <col min="10" max="16384" width="9.06640625" style="86"/>
  </cols>
  <sheetData>
    <row r="1" spans="1:8" x14ac:dyDescent="0.45">
      <c r="A1" s="86" t="s">
        <v>2</v>
      </c>
      <c r="B1" s="86" t="s">
        <v>3</v>
      </c>
      <c r="C1" s="86" t="s">
        <v>4</v>
      </c>
      <c r="D1" s="86" t="s">
        <v>5</v>
      </c>
      <c r="E1" s="86" t="s">
        <v>6</v>
      </c>
      <c r="F1" s="86" t="s">
        <v>7</v>
      </c>
      <c r="G1" s="86" t="s">
        <v>8</v>
      </c>
      <c r="H1" s="86" t="s">
        <v>141</v>
      </c>
    </row>
    <row r="2" spans="1:8" x14ac:dyDescent="0.45">
      <c r="A2" s="86" t="s">
        <v>10</v>
      </c>
      <c r="B2" s="86" t="s">
        <v>11</v>
      </c>
      <c r="C2" s="86" t="s">
        <v>12</v>
      </c>
      <c r="D2" s="86" t="s">
        <v>20</v>
      </c>
      <c r="E2" s="86" t="s">
        <v>27</v>
      </c>
      <c r="F2" s="86">
        <v>10.5</v>
      </c>
      <c r="G2" s="86">
        <v>10.71</v>
      </c>
      <c r="H2" s="86" t="s">
        <v>28</v>
      </c>
    </row>
    <row r="3" spans="1:8" x14ac:dyDescent="0.45">
      <c r="A3" s="86" t="s">
        <v>10</v>
      </c>
      <c r="B3" s="86" t="s">
        <v>11</v>
      </c>
      <c r="C3" s="86" t="s">
        <v>12</v>
      </c>
      <c r="D3" s="86" t="s">
        <v>20</v>
      </c>
      <c r="E3" s="86" t="s">
        <v>21</v>
      </c>
      <c r="F3" s="86">
        <v>78.75</v>
      </c>
      <c r="G3" s="86">
        <v>80.33</v>
      </c>
      <c r="H3" s="86" t="s">
        <v>22</v>
      </c>
    </row>
    <row r="4" spans="1:8" x14ac:dyDescent="0.45">
      <c r="A4" s="86" t="s">
        <v>10</v>
      </c>
      <c r="B4" s="86" t="s">
        <v>11</v>
      </c>
      <c r="C4" s="86" t="s">
        <v>12</v>
      </c>
      <c r="D4" s="86" t="s">
        <v>13</v>
      </c>
      <c r="E4" s="86" t="s">
        <v>16</v>
      </c>
      <c r="F4" s="86">
        <v>52.5</v>
      </c>
      <c r="G4" s="86">
        <v>50.4</v>
      </c>
      <c r="H4" s="86" t="s">
        <v>277</v>
      </c>
    </row>
    <row r="5" spans="1:8" x14ac:dyDescent="0.45">
      <c r="A5" s="86" t="s">
        <v>10</v>
      </c>
      <c r="B5" s="86" t="s">
        <v>11</v>
      </c>
      <c r="C5" s="86" t="s">
        <v>12</v>
      </c>
      <c r="D5" s="86" t="s">
        <v>13</v>
      </c>
      <c r="E5" s="86" t="s">
        <v>14</v>
      </c>
      <c r="F5" s="86">
        <v>87.5</v>
      </c>
      <c r="G5" s="86">
        <v>89.25</v>
      </c>
      <c r="H5" s="86" t="s">
        <v>15</v>
      </c>
    </row>
    <row r="6" spans="1:8" x14ac:dyDescent="0.45">
      <c r="A6" s="86" t="s">
        <v>10</v>
      </c>
      <c r="B6" s="86" t="s">
        <v>11</v>
      </c>
      <c r="C6" s="86" t="s">
        <v>12</v>
      </c>
      <c r="D6" s="86" t="s">
        <v>20</v>
      </c>
      <c r="E6" s="86" t="s">
        <v>25</v>
      </c>
      <c r="F6" s="86">
        <v>14</v>
      </c>
      <c r="G6" s="86">
        <v>14.42</v>
      </c>
      <c r="H6" s="86" t="s">
        <v>26</v>
      </c>
    </row>
    <row r="7" spans="1:8" x14ac:dyDescent="0.45">
      <c r="A7" s="86" t="s">
        <v>10</v>
      </c>
      <c r="B7" s="86" t="s">
        <v>11</v>
      </c>
      <c r="C7" s="86" t="s">
        <v>12</v>
      </c>
      <c r="D7" s="86" t="s">
        <v>13</v>
      </c>
      <c r="E7" s="86" t="s">
        <v>18</v>
      </c>
      <c r="F7" s="86">
        <v>35</v>
      </c>
      <c r="G7" s="86">
        <v>36.4</v>
      </c>
      <c r="H7" s="86" t="s">
        <v>19</v>
      </c>
    </row>
    <row r="8" spans="1:8" x14ac:dyDescent="0.45">
      <c r="A8" s="86" t="s">
        <v>10</v>
      </c>
      <c r="B8" s="86" t="s">
        <v>11</v>
      </c>
      <c r="C8" s="86" t="s">
        <v>12</v>
      </c>
      <c r="D8" s="86" t="s">
        <v>20</v>
      </c>
      <c r="E8" s="86" t="s">
        <v>29</v>
      </c>
      <c r="G8" s="86">
        <v>7.07</v>
      </c>
      <c r="H8" s="86" t="s">
        <v>30</v>
      </c>
    </row>
    <row r="9" spans="1:8" x14ac:dyDescent="0.45">
      <c r="A9" s="86" t="s">
        <v>10</v>
      </c>
      <c r="B9" s="86" t="s">
        <v>11</v>
      </c>
      <c r="C9" s="86" t="s">
        <v>12</v>
      </c>
      <c r="D9" s="86" t="s">
        <v>20</v>
      </c>
      <c r="E9" s="86" t="s">
        <v>23</v>
      </c>
      <c r="F9" s="86">
        <v>1E-4</v>
      </c>
      <c r="G9" s="86">
        <v>17.68</v>
      </c>
      <c r="H9" s="86" t="s">
        <v>211</v>
      </c>
    </row>
    <row r="10" spans="1:8" x14ac:dyDescent="0.45">
      <c r="A10" s="86" t="s">
        <v>35</v>
      </c>
      <c r="B10" s="86" t="s">
        <v>11</v>
      </c>
      <c r="C10" s="86" t="s">
        <v>34</v>
      </c>
      <c r="D10" s="86" t="s">
        <v>20</v>
      </c>
      <c r="E10" s="86" t="s">
        <v>27</v>
      </c>
      <c r="F10" s="86">
        <v>12</v>
      </c>
      <c r="G10" s="86">
        <v>12.36</v>
      </c>
      <c r="H10" s="86" t="s">
        <v>28</v>
      </c>
    </row>
    <row r="11" spans="1:8" x14ac:dyDescent="0.45">
      <c r="A11" s="86" t="s">
        <v>35</v>
      </c>
      <c r="B11" s="86" t="s">
        <v>11</v>
      </c>
      <c r="C11" s="86" t="s">
        <v>34</v>
      </c>
      <c r="D11" s="86" t="s">
        <v>20</v>
      </c>
      <c r="E11" s="86" t="s">
        <v>21</v>
      </c>
      <c r="F11" s="86">
        <v>90</v>
      </c>
      <c r="G11" s="86">
        <v>92.7</v>
      </c>
      <c r="H11" s="86" t="s">
        <v>22</v>
      </c>
    </row>
    <row r="12" spans="1:8" x14ac:dyDescent="0.45">
      <c r="A12" s="86" t="s">
        <v>35</v>
      </c>
      <c r="B12" s="86" t="s">
        <v>11</v>
      </c>
      <c r="C12" s="86" t="s">
        <v>34</v>
      </c>
      <c r="D12" s="86" t="s">
        <v>13</v>
      </c>
      <c r="E12" s="86" t="s">
        <v>14</v>
      </c>
      <c r="F12" s="86">
        <v>100</v>
      </c>
      <c r="G12" s="86">
        <v>101</v>
      </c>
      <c r="H12" s="86" t="s">
        <v>285</v>
      </c>
    </row>
    <row r="13" spans="1:8" x14ac:dyDescent="0.45">
      <c r="A13" s="86" t="s">
        <v>35</v>
      </c>
      <c r="B13" s="86" t="s">
        <v>11</v>
      </c>
      <c r="C13" s="86" t="s">
        <v>34</v>
      </c>
      <c r="D13" s="86" t="s">
        <v>13</v>
      </c>
      <c r="E13" s="86" t="s">
        <v>18</v>
      </c>
      <c r="F13" s="86">
        <v>40</v>
      </c>
      <c r="G13" s="86">
        <v>42.4</v>
      </c>
      <c r="H13" s="86" t="s">
        <v>19</v>
      </c>
    </row>
    <row r="14" spans="1:8" x14ac:dyDescent="0.45">
      <c r="A14" s="86" t="s">
        <v>35</v>
      </c>
      <c r="B14" s="86" t="s">
        <v>11</v>
      </c>
      <c r="C14" s="86" t="s">
        <v>34</v>
      </c>
      <c r="D14" s="86" t="s">
        <v>20</v>
      </c>
      <c r="E14" s="86" t="s">
        <v>23</v>
      </c>
      <c r="F14" s="86">
        <v>20</v>
      </c>
      <c r="G14" s="86">
        <v>19.600000000000001</v>
      </c>
      <c r="H14" s="86" t="s">
        <v>24</v>
      </c>
    </row>
    <row r="15" spans="1:8" x14ac:dyDescent="0.45">
      <c r="A15" s="86" t="s">
        <v>35</v>
      </c>
      <c r="B15" s="86" t="s">
        <v>11</v>
      </c>
      <c r="C15" s="86" t="s">
        <v>34</v>
      </c>
      <c r="D15" s="86" t="s">
        <v>20</v>
      </c>
      <c r="E15" s="86" t="s">
        <v>25</v>
      </c>
      <c r="F15" s="86">
        <v>16</v>
      </c>
      <c r="G15" s="86">
        <v>16.8</v>
      </c>
      <c r="H15" s="86" t="s">
        <v>263</v>
      </c>
    </row>
    <row r="16" spans="1:8" x14ac:dyDescent="0.45">
      <c r="A16" s="86" t="s">
        <v>35</v>
      </c>
      <c r="B16" s="86" t="s">
        <v>11</v>
      </c>
      <c r="C16" s="86" t="s">
        <v>34</v>
      </c>
      <c r="D16" s="86" t="s">
        <v>13</v>
      </c>
      <c r="E16" s="86" t="s">
        <v>16</v>
      </c>
      <c r="F16" s="86">
        <v>60</v>
      </c>
      <c r="G16" s="86">
        <v>55.8</v>
      </c>
      <c r="H16" s="86" t="s">
        <v>17</v>
      </c>
    </row>
    <row r="17" spans="1:8" x14ac:dyDescent="0.45">
      <c r="A17" s="86" t="s">
        <v>35</v>
      </c>
      <c r="B17" s="86" t="s">
        <v>11</v>
      </c>
      <c r="C17" s="86" t="s">
        <v>34</v>
      </c>
      <c r="D17" s="86" t="s">
        <v>20</v>
      </c>
      <c r="E17" s="86" t="s">
        <v>29</v>
      </c>
      <c r="F17" s="86">
        <v>8</v>
      </c>
      <c r="H17" s="86" t="s">
        <v>30</v>
      </c>
    </row>
    <row r="18" spans="1:8" x14ac:dyDescent="0.45">
      <c r="A18" s="86" t="s">
        <v>40</v>
      </c>
      <c r="B18" s="86" t="s">
        <v>11</v>
      </c>
      <c r="C18" s="86" t="s">
        <v>38</v>
      </c>
      <c r="D18" s="86" t="s">
        <v>20</v>
      </c>
      <c r="E18" s="86" t="s">
        <v>21</v>
      </c>
      <c r="F18" s="86">
        <v>112.5</v>
      </c>
      <c r="G18" s="86">
        <v>118.12</v>
      </c>
      <c r="H18" s="86" t="s">
        <v>22</v>
      </c>
    </row>
    <row r="19" spans="1:8" x14ac:dyDescent="0.45">
      <c r="A19" s="86" t="s">
        <v>40</v>
      </c>
      <c r="B19" s="86" t="s">
        <v>11</v>
      </c>
      <c r="C19" s="86" t="s">
        <v>38</v>
      </c>
      <c r="D19" s="86" t="s">
        <v>13</v>
      </c>
      <c r="E19" s="86" t="s">
        <v>18</v>
      </c>
      <c r="F19" s="86">
        <v>50</v>
      </c>
      <c r="G19" s="86">
        <v>54</v>
      </c>
      <c r="H19" s="86" t="s">
        <v>19</v>
      </c>
    </row>
    <row r="20" spans="1:8" x14ac:dyDescent="0.45">
      <c r="A20" s="86" t="s">
        <v>40</v>
      </c>
      <c r="B20" s="86" t="s">
        <v>11</v>
      </c>
      <c r="C20" s="86" t="s">
        <v>38</v>
      </c>
      <c r="D20" s="86" t="s">
        <v>20</v>
      </c>
      <c r="E20" s="86" t="s">
        <v>27</v>
      </c>
      <c r="F20" s="86">
        <v>15</v>
      </c>
      <c r="G20" s="86">
        <v>15.45</v>
      </c>
      <c r="H20" s="86" t="s">
        <v>28</v>
      </c>
    </row>
    <row r="21" spans="1:8" x14ac:dyDescent="0.45">
      <c r="A21" s="86" t="s">
        <v>40</v>
      </c>
      <c r="B21" s="86" t="s">
        <v>11</v>
      </c>
      <c r="C21" s="86" t="s">
        <v>38</v>
      </c>
      <c r="D21" s="86" t="s">
        <v>13</v>
      </c>
      <c r="E21" s="86" t="s">
        <v>14</v>
      </c>
      <c r="F21" s="86">
        <v>125</v>
      </c>
      <c r="G21" s="86">
        <v>128.75</v>
      </c>
      <c r="H21" s="86" t="s">
        <v>285</v>
      </c>
    </row>
    <row r="22" spans="1:8" x14ac:dyDescent="0.45">
      <c r="A22" s="86" t="s">
        <v>40</v>
      </c>
      <c r="B22" s="86" t="s">
        <v>11</v>
      </c>
      <c r="C22" s="86" t="s">
        <v>38</v>
      </c>
      <c r="D22" s="86" t="s">
        <v>20</v>
      </c>
      <c r="E22" s="86" t="s">
        <v>29</v>
      </c>
      <c r="F22" s="86">
        <v>10.1</v>
      </c>
      <c r="G22" s="86">
        <v>10</v>
      </c>
      <c r="H22" s="86" t="s">
        <v>30</v>
      </c>
    </row>
    <row r="23" spans="1:8" x14ac:dyDescent="0.45">
      <c r="A23" s="86" t="s">
        <v>40</v>
      </c>
      <c r="B23" s="86" t="s">
        <v>11</v>
      </c>
      <c r="C23" s="86" t="s">
        <v>38</v>
      </c>
      <c r="D23" s="86" t="s">
        <v>20</v>
      </c>
      <c r="E23" s="86" t="s">
        <v>23</v>
      </c>
      <c r="F23" s="86">
        <v>25</v>
      </c>
      <c r="H23" s="86" t="s">
        <v>24</v>
      </c>
    </row>
    <row r="24" spans="1:8" x14ac:dyDescent="0.45">
      <c r="A24" s="86" t="s">
        <v>40</v>
      </c>
      <c r="B24" s="86" t="s">
        <v>11</v>
      </c>
      <c r="C24" s="86" t="s">
        <v>38</v>
      </c>
      <c r="D24" s="86" t="s">
        <v>13</v>
      </c>
      <c r="E24" s="86" t="s">
        <v>16</v>
      </c>
      <c r="G24" s="86">
        <v>68.25</v>
      </c>
      <c r="H24" s="86" t="s">
        <v>17</v>
      </c>
    </row>
    <row r="25" spans="1:8" x14ac:dyDescent="0.45">
      <c r="A25" s="86" t="s">
        <v>40</v>
      </c>
      <c r="B25" s="86" t="s">
        <v>11</v>
      </c>
      <c r="C25" s="86" t="s">
        <v>38</v>
      </c>
      <c r="D25" s="86" t="s">
        <v>20</v>
      </c>
      <c r="E25" s="86" t="s">
        <v>25</v>
      </c>
      <c r="G25" s="86">
        <v>21</v>
      </c>
      <c r="H25" s="86" t="s">
        <v>26</v>
      </c>
    </row>
    <row r="26" spans="1:8" x14ac:dyDescent="0.45">
      <c r="A26" s="86" t="s">
        <v>43</v>
      </c>
      <c r="B26" s="86" t="s">
        <v>11</v>
      </c>
      <c r="C26" s="86" t="s">
        <v>42</v>
      </c>
      <c r="D26" s="86" t="s">
        <v>20</v>
      </c>
      <c r="E26" s="86" t="s">
        <v>29</v>
      </c>
      <c r="F26" s="86">
        <v>8</v>
      </c>
      <c r="G26" s="86">
        <v>8</v>
      </c>
      <c r="H26" s="86" t="s">
        <v>30</v>
      </c>
    </row>
    <row r="27" spans="1:8" x14ac:dyDescent="0.45">
      <c r="A27" s="86" t="s">
        <v>43</v>
      </c>
      <c r="B27" s="86" t="s">
        <v>11</v>
      </c>
      <c r="C27" s="86" t="s">
        <v>42</v>
      </c>
      <c r="D27" s="86" t="s">
        <v>20</v>
      </c>
      <c r="E27" s="86" t="s">
        <v>27</v>
      </c>
      <c r="F27" s="86">
        <v>12</v>
      </c>
      <c r="G27" s="86">
        <v>12.36</v>
      </c>
      <c r="H27" s="86" t="s">
        <v>28</v>
      </c>
    </row>
    <row r="28" spans="1:8" x14ac:dyDescent="0.45">
      <c r="A28" s="86" t="s">
        <v>43</v>
      </c>
      <c r="B28" s="86" t="s">
        <v>11</v>
      </c>
      <c r="C28" s="86" t="s">
        <v>42</v>
      </c>
      <c r="D28" s="86" t="s">
        <v>20</v>
      </c>
      <c r="E28" s="86" t="s">
        <v>23</v>
      </c>
      <c r="F28" s="86">
        <v>20</v>
      </c>
      <c r="G28" s="86">
        <v>20.2</v>
      </c>
      <c r="H28" s="86" t="s">
        <v>415</v>
      </c>
    </row>
    <row r="29" spans="1:8" x14ac:dyDescent="0.45">
      <c r="A29" s="86" t="s">
        <v>43</v>
      </c>
      <c r="B29" s="86" t="s">
        <v>11</v>
      </c>
      <c r="C29" s="86" t="s">
        <v>42</v>
      </c>
      <c r="D29" s="86" t="s">
        <v>20</v>
      </c>
      <c r="E29" s="86" t="s">
        <v>21</v>
      </c>
      <c r="F29" s="86">
        <v>90</v>
      </c>
      <c r="G29" s="86">
        <v>94.5</v>
      </c>
      <c r="H29" s="86" t="s">
        <v>22</v>
      </c>
    </row>
    <row r="30" spans="1:8" x14ac:dyDescent="0.45">
      <c r="A30" s="86" t="s">
        <v>43</v>
      </c>
      <c r="B30" s="86" t="s">
        <v>11</v>
      </c>
      <c r="C30" s="86" t="s">
        <v>42</v>
      </c>
      <c r="D30" s="86" t="s">
        <v>13</v>
      </c>
      <c r="E30" s="86" t="s">
        <v>16</v>
      </c>
      <c r="F30" s="86">
        <v>60</v>
      </c>
      <c r="G30" s="86">
        <v>54</v>
      </c>
      <c r="H30" s="86" t="s">
        <v>17</v>
      </c>
    </row>
    <row r="31" spans="1:8" x14ac:dyDescent="0.45">
      <c r="A31" s="86" t="s">
        <v>43</v>
      </c>
      <c r="B31" s="86" t="s">
        <v>11</v>
      </c>
      <c r="C31" s="86" t="s">
        <v>42</v>
      </c>
      <c r="D31" s="86" t="s">
        <v>20</v>
      </c>
      <c r="E31" s="86" t="s">
        <v>25</v>
      </c>
      <c r="F31" s="86">
        <v>16</v>
      </c>
      <c r="G31" s="86">
        <v>16.48</v>
      </c>
      <c r="H31" s="86" t="s">
        <v>26</v>
      </c>
    </row>
    <row r="32" spans="1:8" x14ac:dyDescent="0.45">
      <c r="A32" s="86" t="s">
        <v>43</v>
      </c>
      <c r="B32" s="86" t="s">
        <v>11</v>
      </c>
      <c r="C32" s="86" t="s">
        <v>42</v>
      </c>
      <c r="D32" s="86" t="s">
        <v>13</v>
      </c>
      <c r="E32" s="86" t="s">
        <v>14</v>
      </c>
      <c r="G32" s="86">
        <v>103</v>
      </c>
      <c r="H32" s="86" t="s">
        <v>15</v>
      </c>
    </row>
    <row r="33" spans="1:8" x14ac:dyDescent="0.45">
      <c r="A33" s="86" t="s">
        <v>43</v>
      </c>
      <c r="B33" s="86" t="s">
        <v>11</v>
      </c>
      <c r="C33" s="86" t="s">
        <v>42</v>
      </c>
      <c r="D33" s="86" t="s">
        <v>13</v>
      </c>
      <c r="E33" s="86" t="s">
        <v>18</v>
      </c>
      <c r="F33" s="86">
        <v>40</v>
      </c>
      <c r="H33" s="86" t="s">
        <v>19</v>
      </c>
    </row>
    <row r="34" spans="1:8" x14ac:dyDescent="0.45">
      <c r="A34" s="86" t="s">
        <v>41</v>
      </c>
      <c r="B34" s="86" t="s">
        <v>11</v>
      </c>
      <c r="C34" s="86" t="s">
        <v>42</v>
      </c>
      <c r="D34" s="86" t="s">
        <v>20</v>
      </c>
      <c r="E34" s="86" t="s">
        <v>27</v>
      </c>
      <c r="F34" s="86">
        <v>14</v>
      </c>
      <c r="G34" s="86">
        <v>13.5</v>
      </c>
      <c r="H34" s="86" t="s">
        <v>28</v>
      </c>
    </row>
    <row r="35" spans="1:8" x14ac:dyDescent="0.45">
      <c r="A35" s="86" t="s">
        <v>41</v>
      </c>
      <c r="B35" s="86" t="s">
        <v>11</v>
      </c>
      <c r="C35" s="86" t="s">
        <v>42</v>
      </c>
      <c r="D35" s="86" t="s">
        <v>13</v>
      </c>
      <c r="E35" s="86" t="s">
        <v>18</v>
      </c>
      <c r="F35" s="86">
        <v>45</v>
      </c>
      <c r="G35" s="86">
        <v>49.05</v>
      </c>
      <c r="H35" s="86" t="s">
        <v>370</v>
      </c>
    </row>
    <row r="36" spans="1:8" x14ac:dyDescent="0.45">
      <c r="A36" s="86" t="s">
        <v>41</v>
      </c>
      <c r="B36" s="86" t="s">
        <v>11</v>
      </c>
      <c r="C36" s="86" t="s">
        <v>42</v>
      </c>
      <c r="D36" s="86" t="s">
        <v>13</v>
      </c>
      <c r="E36" s="86" t="s">
        <v>16</v>
      </c>
      <c r="F36" s="86">
        <v>67.5</v>
      </c>
      <c r="G36" s="86">
        <v>62.1</v>
      </c>
      <c r="H36" s="86" t="s">
        <v>17</v>
      </c>
    </row>
    <row r="37" spans="1:8" x14ac:dyDescent="0.45">
      <c r="A37" s="86" t="s">
        <v>41</v>
      </c>
      <c r="B37" s="86" t="s">
        <v>11</v>
      </c>
      <c r="C37" s="86" t="s">
        <v>42</v>
      </c>
      <c r="D37" s="86" t="s">
        <v>20</v>
      </c>
      <c r="E37" s="86" t="s">
        <v>21</v>
      </c>
      <c r="F37" s="86">
        <v>101.25</v>
      </c>
      <c r="G37" s="86">
        <v>107.33</v>
      </c>
      <c r="H37" s="86" t="s">
        <v>22</v>
      </c>
    </row>
    <row r="38" spans="1:8" x14ac:dyDescent="0.45">
      <c r="A38" s="86" t="s">
        <v>41</v>
      </c>
      <c r="B38" s="86" t="s">
        <v>11</v>
      </c>
      <c r="C38" s="86" t="s">
        <v>42</v>
      </c>
      <c r="D38" s="86" t="s">
        <v>13</v>
      </c>
      <c r="E38" s="86" t="s">
        <v>14</v>
      </c>
      <c r="F38" s="86">
        <v>112.5</v>
      </c>
      <c r="G38" s="86">
        <v>117</v>
      </c>
      <c r="H38" s="86" t="s">
        <v>15</v>
      </c>
    </row>
    <row r="39" spans="1:8" x14ac:dyDescent="0.45">
      <c r="A39" s="86" t="s">
        <v>41</v>
      </c>
      <c r="B39" s="86" t="s">
        <v>11</v>
      </c>
      <c r="C39" s="86" t="s">
        <v>42</v>
      </c>
      <c r="D39" s="86" t="s">
        <v>20</v>
      </c>
      <c r="E39" s="86" t="s">
        <v>29</v>
      </c>
      <c r="F39" s="86">
        <v>9</v>
      </c>
      <c r="G39" s="86">
        <v>9.09</v>
      </c>
      <c r="H39" s="86" t="s">
        <v>30</v>
      </c>
    </row>
    <row r="40" spans="1:8" x14ac:dyDescent="0.45">
      <c r="A40" s="86" t="s">
        <v>41</v>
      </c>
      <c r="B40" s="86" t="s">
        <v>11</v>
      </c>
      <c r="C40" s="86" t="s">
        <v>42</v>
      </c>
      <c r="D40" s="86" t="s">
        <v>20</v>
      </c>
      <c r="E40" s="86" t="s">
        <v>25</v>
      </c>
      <c r="F40" s="86">
        <v>18</v>
      </c>
      <c r="G40" s="86">
        <v>18.72</v>
      </c>
      <c r="H40" s="86" t="s">
        <v>26</v>
      </c>
    </row>
    <row r="41" spans="1:8" x14ac:dyDescent="0.45">
      <c r="A41" s="86" t="s">
        <v>41</v>
      </c>
      <c r="B41" s="86" t="s">
        <v>11</v>
      </c>
      <c r="C41" s="86" t="s">
        <v>42</v>
      </c>
      <c r="D41" s="86" t="s">
        <v>20</v>
      </c>
      <c r="E41" s="86" t="s">
        <v>23</v>
      </c>
      <c r="G41" s="86">
        <v>22.95</v>
      </c>
      <c r="H41" s="86" t="s">
        <v>415</v>
      </c>
    </row>
    <row r="42" spans="1:8" x14ac:dyDescent="0.45">
      <c r="A42" s="86" t="s">
        <v>33</v>
      </c>
      <c r="B42" s="86" t="s">
        <v>11</v>
      </c>
      <c r="C42" s="86" t="s">
        <v>34</v>
      </c>
      <c r="D42" s="86" t="s">
        <v>20</v>
      </c>
      <c r="E42" s="86" t="s">
        <v>21</v>
      </c>
      <c r="F42" s="86">
        <v>90</v>
      </c>
      <c r="G42" s="86">
        <v>93.6</v>
      </c>
      <c r="H42" s="86" t="s">
        <v>22</v>
      </c>
    </row>
    <row r="43" spans="1:8" x14ac:dyDescent="0.45">
      <c r="A43" s="86" t="s">
        <v>33</v>
      </c>
      <c r="B43" s="86" t="s">
        <v>11</v>
      </c>
      <c r="C43" s="86" t="s">
        <v>34</v>
      </c>
      <c r="D43" s="86" t="s">
        <v>20</v>
      </c>
      <c r="E43" s="86" t="s">
        <v>25</v>
      </c>
      <c r="F43" s="86">
        <v>16</v>
      </c>
      <c r="G43" s="86">
        <v>16.48</v>
      </c>
      <c r="H43" s="86" t="s">
        <v>26</v>
      </c>
    </row>
    <row r="44" spans="1:8" x14ac:dyDescent="0.45">
      <c r="A44" s="86" t="s">
        <v>33</v>
      </c>
      <c r="B44" s="86" t="s">
        <v>11</v>
      </c>
      <c r="C44" s="86" t="s">
        <v>34</v>
      </c>
      <c r="D44" s="86" t="s">
        <v>13</v>
      </c>
      <c r="E44" s="86" t="s">
        <v>16</v>
      </c>
      <c r="F44" s="86">
        <v>60</v>
      </c>
      <c r="G44" s="86">
        <v>57</v>
      </c>
      <c r="H44" s="86" t="s">
        <v>367</v>
      </c>
    </row>
    <row r="45" spans="1:8" x14ac:dyDescent="0.45">
      <c r="A45" s="86" t="s">
        <v>33</v>
      </c>
      <c r="B45" s="86" t="s">
        <v>11</v>
      </c>
      <c r="C45" s="86" t="s">
        <v>34</v>
      </c>
      <c r="D45" s="86" t="s">
        <v>13</v>
      </c>
      <c r="E45" s="86" t="s">
        <v>14</v>
      </c>
      <c r="F45" s="86">
        <v>100</v>
      </c>
      <c r="G45" s="86">
        <v>102</v>
      </c>
      <c r="H45" s="86" t="s">
        <v>15</v>
      </c>
    </row>
    <row r="46" spans="1:8" x14ac:dyDescent="0.45">
      <c r="A46" s="86" t="s">
        <v>33</v>
      </c>
      <c r="B46" s="86" t="s">
        <v>11</v>
      </c>
      <c r="C46" s="86" t="s">
        <v>34</v>
      </c>
      <c r="D46" s="86" t="s">
        <v>13</v>
      </c>
      <c r="E46" s="86" t="s">
        <v>18</v>
      </c>
      <c r="F46" s="86">
        <v>40</v>
      </c>
      <c r="G46" s="86">
        <v>42.8</v>
      </c>
      <c r="H46" s="86" t="s">
        <v>19</v>
      </c>
    </row>
    <row r="47" spans="1:8" x14ac:dyDescent="0.45">
      <c r="A47" s="86" t="s">
        <v>33</v>
      </c>
      <c r="B47" s="86" t="s">
        <v>11</v>
      </c>
      <c r="C47" s="86" t="s">
        <v>34</v>
      </c>
      <c r="D47" s="86" t="s">
        <v>20</v>
      </c>
      <c r="E47" s="86" t="s">
        <v>29</v>
      </c>
      <c r="F47" s="86">
        <v>8</v>
      </c>
      <c r="G47" s="86">
        <v>8.16</v>
      </c>
      <c r="H47" s="86" t="s">
        <v>30</v>
      </c>
    </row>
    <row r="48" spans="1:8" x14ac:dyDescent="0.45">
      <c r="A48" s="86" t="s">
        <v>33</v>
      </c>
      <c r="B48" s="86" t="s">
        <v>11</v>
      </c>
      <c r="C48" s="86" t="s">
        <v>34</v>
      </c>
      <c r="D48" s="86" t="s">
        <v>20</v>
      </c>
      <c r="E48" s="86" t="s">
        <v>23</v>
      </c>
      <c r="F48" s="86">
        <v>20</v>
      </c>
      <c r="G48" s="86">
        <v>20.2</v>
      </c>
      <c r="H48" s="86" t="s">
        <v>24</v>
      </c>
    </row>
    <row r="49" spans="1:8" x14ac:dyDescent="0.45">
      <c r="A49" s="86" t="s">
        <v>32</v>
      </c>
      <c r="B49" s="86" t="s">
        <v>11</v>
      </c>
      <c r="C49" s="86" t="s">
        <v>12</v>
      </c>
      <c r="D49" s="86" t="s">
        <v>13</v>
      </c>
      <c r="E49" s="86" t="s">
        <v>14</v>
      </c>
      <c r="F49" s="86">
        <v>87.5</v>
      </c>
      <c r="G49" s="86">
        <v>90.12</v>
      </c>
      <c r="H49" s="86" t="s">
        <v>15</v>
      </c>
    </row>
    <row r="50" spans="1:8" x14ac:dyDescent="0.45">
      <c r="A50" s="86" t="s">
        <v>32</v>
      </c>
      <c r="B50" s="86" t="s">
        <v>11</v>
      </c>
      <c r="C50" s="86" t="s">
        <v>12</v>
      </c>
      <c r="D50" s="86" t="s">
        <v>13</v>
      </c>
      <c r="E50" s="86" t="s">
        <v>16</v>
      </c>
      <c r="F50" s="86">
        <v>52.5</v>
      </c>
      <c r="G50" s="86">
        <v>49.35</v>
      </c>
      <c r="H50" s="86" t="s">
        <v>17</v>
      </c>
    </row>
    <row r="51" spans="1:8" x14ac:dyDescent="0.45">
      <c r="A51" s="86" t="s">
        <v>32</v>
      </c>
      <c r="B51" s="86" t="s">
        <v>11</v>
      </c>
      <c r="C51" s="86" t="s">
        <v>12</v>
      </c>
      <c r="D51" s="86" t="s">
        <v>20</v>
      </c>
      <c r="E51" s="86" t="s">
        <v>25</v>
      </c>
      <c r="F51" s="86">
        <v>14</v>
      </c>
      <c r="G51" s="86">
        <v>14.56</v>
      </c>
      <c r="H51" s="86" t="s">
        <v>26</v>
      </c>
    </row>
    <row r="52" spans="1:8" x14ac:dyDescent="0.45">
      <c r="A52" s="86" t="s">
        <v>32</v>
      </c>
      <c r="B52" s="86" t="s">
        <v>11</v>
      </c>
      <c r="C52" s="86" t="s">
        <v>12</v>
      </c>
      <c r="D52" s="86" t="s">
        <v>20</v>
      </c>
      <c r="E52" s="86" t="s">
        <v>21</v>
      </c>
      <c r="F52" s="86">
        <v>78.75</v>
      </c>
      <c r="G52" s="86">
        <v>80.33</v>
      </c>
      <c r="H52" s="86" t="s">
        <v>22</v>
      </c>
    </row>
    <row r="53" spans="1:8" x14ac:dyDescent="0.45">
      <c r="A53" s="86" t="s">
        <v>32</v>
      </c>
      <c r="B53" s="86" t="s">
        <v>11</v>
      </c>
      <c r="C53" s="86" t="s">
        <v>12</v>
      </c>
      <c r="D53" s="86" t="s">
        <v>20</v>
      </c>
      <c r="E53" s="86" t="s">
        <v>23</v>
      </c>
      <c r="F53" s="86">
        <v>17.5</v>
      </c>
      <c r="G53" s="86">
        <v>17.850000000000001</v>
      </c>
      <c r="H53" s="86" t="s">
        <v>24</v>
      </c>
    </row>
    <row r="54" spans="1:8" x14ac:dyDescent="0.45">
      <c r="A54" s="86" t="s">
        <v>32</v>
      </c>
      <c r="B54" s="86" t="s">
        <v>11</v>
      </c>
      <c r="C54" s="86" t="s">
        <v>12</v>
      </c>
      <c r="D54" s="86" t="s">
        <v>20</v>
      </c>
      <c r="E54" s="86" t="s">
        <v>29</v>
      </c>
      <c r="F54" s="86">
        <v>7</v>
      </c>
      <c r="G54" s="86">
        <v>7.07</v>
      </c>
      <c r="H54" s="86" t="s">
        <v>30</v>
      </c>
    </row>
    <row r="55" spans="1:8" x14ac:dyDescent="0.45">
      <c r="A55" s="86" t="s">
        <v>32</v>
      </c>
      <c r="B55" s="86" t="s">
        <v>11</v>
      </c>
      <c r="C55" s="86" t="s">
        <v>12</v>
      </c>
      <c r="D55" s="86" t="s">
        <v>20</v>
      </c>
      <c r="E55" s="86" t="s">
        <v>27</v>
      </c>
      <c r="F55" s="86">
        <v>10.5</v>
      </c>
      <c r="H55" s="86" t="s">
        <v>28</v>
      </c>
    </row>
    <row r="56" spans="1:8" x14ac:dyDescent="0.45">
      <c r="A56" s="86" t="s">
        <v>32</v>
      </c>
      <c r="B56" s="86" t="s">
        <v>11</v>
      </c>
      <c r="C56" s="86" t="s">
        <v>12</v>
      </c>
      <c r="D56" s="86" t="s">
        <v>13</v>
      </c>
      <c r="E56" s="86" t="s">
        <v>18</v>
      </c>
      <c r="F56" s="86">
        <v>35</v>
      </c>
      <c r="H56" s="86" t="s">
        <v>19</v>
      </c>
    </row>
    <row r="57" spans="1:8" x14ac:dyDescent="0.45">
      <c r="A57" s="86" t="s">
        <v>44</v>
      </c>
      <c r="B57" s="86" t="s">
        <v>11</v>
      </c>
      <c r="C57" s="86" t="s">
        <v>42</v>
      </c>
      <c r="D57" s="86" t="s">
        <v>20</v>
      </c>
      <c r="E57" s="86" t="s">
        <v>27</v>
      </c>
      <c r="F57" s="86">
        <v>10.5</v>
      </c>
      <c r="G57" s="86">
        <v>11.03</v>
      </c>
      <c r="H57" s="86" t="s">
        <v>28</v>
      </c>
    </row>
    <row r="58" spans="1:8" x14ac:dyDescent="0.45">
      <c r="A58" s="86" t="s">
        <v>44</v>
      </c>
      <c r="B58" s="86" t="s">
        <v>11</v>
      </c>
      <c r="C58" s="86" t="s">
        <v>42</v>
      </c>
      <c r="D58" s="86" t="s">
        <v>20</v>
      </c>
      <c r="E58" s="86" t="s">
        <v>23</v>
      </c>
      <c r="F58" s="86">
        <v>17.5</v>
      </c>
      <c r="G58" s="86">
        <v>18.03</v>
      </c>
      <c r="H58" s="86" t="s">
        <v>24</v>
      </c>
    </row>
    <row r="59" spans="1:8" x14ac:dyDescent="0.45">
      <c r="A59" s="86" t="s">
        <v>44</v>
      </c>
      <c r="B59" s="86" t="s">
        <v>11</v>
      </c>
      <c r="C59" s="86" t="s">
        <v>42</v>
      </c>
      <c r="D59" s="86" t="s">
        <v>20</v>
      </c>
      <c r="E59" s="86" t="s">
        <v>21</v>
      </c>
      <c r="F59" s="86">
        <v>78.75</v>
      </c>
      <c r="G59" s="86">
        <v>84.26</v>
      </c>
      <c r="H59" s="86" t="s">
        <v>22</v>
      </c>
    </row>
    <row r="60" spans="1:8" x14ac:dyDescent="0.45">
      <c r="A60" s="86" t="s">
        <v>44</v>
      </c>
      <c r="B60" s="86" t="s">
        <v>11</v>
      </c>
      <c r="C60" s="86" t="s">
        <v>42</v>
      </c>
      <c r="D60" s="86" t="s">
        <v>20</v>
      </c>
      <c r="E60" s="86" t="s">
        <v>29</v>
      </c>
      <c r="F60" s="86">
        <v>7</v>
      </c>
      <c r="G60" s="86">
        <v>7.14</v>
      </c>
      <c r="H60" s="86" t="s">
        <v>30</v>
      </c>
    </row>
    <row r="61" spans="1:8" x14ac:dyDescent="0.45">
      <c r="A61" s="86" t="s">
        <v>44</v>
      </c>
      <c r="B61" s="86" t="s">
        <v>11</v>
      </c>
      <c r="C61" s="86" t="s">
        <v>42</v>
      </c>
      <c r="D61" s="86" t="s">
        <v>13</v>
      </c>
      <c r="E61" s="86" t="s">
        <v>14</v>
      </c>
      <c r="F61" s="86">
        <v>87.5</v>
      </c>
      <c r="G61" s="86">
        <v>91.88</v>
      </c>
      <c r="H61" s="86" t="s">
        <v>285</v>
      </c>
    </row>
    <row r="62" spans="1:8" x14ac:dyDescent="0.45">
      <c r="A62" s="86" t="s">
        <v>44</v>
      </c>
      <c r="B62" s="86" t="s">
        <v>11</v>
      </c>
      <c r="C62" s="86" t="s">
        <v>42</v>
      </c>
      <c r="D62" s="86" t="s">
        <v>13</v>
      </c>
      <c r="E62" s="86" t="s">
        <v>16</v>
      </c>
      <c r="F62" s="86">
        <v>52.5</v>
      </c>
      <c r="G62" s="86">
        <v>46.73</v>
      </c>
      <c r="H62" s="86" t="s">
        <v>277</v>
      </c>
    </row>
    <row r="63" spans="1:8" x14ac:dyDescent="0.45">
      <c r="A63" s="86" t="s">
        <v>44</v>
      </c>
      <c r="B63" s="86" t="s">
        <v>11</v>
      </c>
      <c r="C63" s="86" t="s">
        <v>42</v>
      </c>
      <c r="D63" s="86" t="s">
        <v>13</v>
      </c>
      <c r="E63" s="86" t="s">
        <v>18</v>
      </c>
      <c r="F63" s="86">
        <v>35</v>
      </c>
      <c r="G63" s="86">
        <v>38.85</v>
      </c>
      <c r="H63" s="86" t="s">
        <v>19</v>
      </c>
    </row>
    <row r="64" spans="1:8" x14ac:dyDescent="0.45">
      <c r="A64" s="86" t="s">
        <v>44</v>
      </c>
      <c r="B64" s="86" t="s">
        <v>11</v>
      </c>
      <c r="C64" s="86" t="s">
        <v>42</v>
      </c>
      <c r="D64" s="86" t="s">
        <v>20</v>
      </c>
      <c r="E64" s="86" t="s">
        <v>25</v>
      </c>
      <c r="F64" s="86">
        <v>14</v>
      </c>
      <c r="G64" s="86">
        <v>-450.5</v>
      </c>
      <c r="H64" s="86" t="s">
        <v>26</v>
      </c>
    </row>
    <row r="65" spans="1:8" x14ac:dyDescent="0.45">
      <c r="A65" s="86" t="s">
        <v>31</v>
      </c>
      <c r="B65" s="86" t="s">
        <v>11</v>
      </c>
      <c r="C65" s="86" t="s">
        <v>12</v>
      </c>
      <c r="D65" s="86" t="s">
        <v>20</v>
      </c>
      <c r="E65" s="86" t="s">
        <v>23</v>
      </c>
      <c r="F65" s="86">
        <v>17.5</v>
      </c>
      <c r="G65" s="86">
        <v>17.32</v>
      </c>
      <c r="H65" s="86" t="s">
        <v>415</v>
      </c>
    </row>
    <row r="66" spans="1:8" x14ac:dyDescent="0.45">
      <c r="A66" s="86" t="s">
        <v>31</v>
      </c>
      <c r="B66" s="86" t="s">
        <v>11</v>
      </c>
      <c r="C66" s="86" t="s">
        <v>12</v>
      </c>
      <c r="D66" s="86" t="s">
        <v>13</v>
      </c>
      <c r="E66" s="86" t="s">
        <v>18</v>
      </c>
      <c r="F66" s="86">
        <v>35</v>
      </c>
      <c r="G66" s="86">
        <v>36.75</v>
      </c>
      <c r="H66" s="86" t="s">
        <v>244</v>
      </c>
    </row>
    <row r="67" spans="1:8" x14ac:dyDescent="0.45">
      <c r="A67" s="86" t="s">
        <v>31</v>
      </c>
      <c r="B67" s="86" t="s">
        <v>11</v>
      </c>
      <c r="C67" s="86" t="s">
        <v>12</v>
      </c>
      <c r="D67" s="86" t="s">
        <v>20</v>
      </c>
      <c r="E67" s="86" t="s">
        <v>21</v>
      </c>
      <c r="F67" s="86">
        <v>78.75</v>
      </c>
      <c r="G67" s="86">
        <v>81.11</v>
      </c>
      <c r="H67" s="86" t="s">
        <v>22</v>
      </c>
    </row>
    <row r="68" spans="1:8" x14ac:dyDescent="0.45">
      <c r="A68" s="86" t="s">
        <v>31</v>
      </c>
      <c r="B68" s="86" t="s">
        <v>11</v>
      </c>
      <c r="C68" s="86" t="s">
        <v>12</v>
      </c>
      <c r="D68" s="86" t="s">
        <v>13</v>
      </c>
      <c r="E68" s="86" t="s">
        <v>14</v>
      </c>
      <c r="F68" s="86">
        <v>87.5</v>
      </c>
      <c r="G68" s="86">
        <v>88.38</v>
      </c>
      <c r="H68" s="86" t="s">
        <v>15</v>
      </c>
    </row>
    <row r="69" spans="1:8" x14ac:dyDescent="0.45">
      <c r="A69" s="86" t="s">
        <v>31</v>
      </c>
      <c r="B69" s="86" t="s">
        <v>11</v>
      </c>
      <c r="C69" s="86" t="s">
        <v>12</v>
      </c>
      <c r="D69" s="86" t="s">
        <v>20</v>
      </c>
      <c r="E69" s="86" t="s">
        <v>25</v>
      </c>
      <c r="F69" s="86">
        <v>14</v>
      </c>
      <c r="G69" s="86">
        <v>14.28</v>
      </c>
      <c r="H69" s="86" t="s">
        <v>26</v>
      </c>
    </row>
    <row r="70" spans="1:8" x14ac:dyDescent="0.45">
      <c r="A70" s="86" t="s">
        <v>31</v>
      </c>
      <c r="B70" s="86" t="s">
        <v>11</v>
      </c>
      <c r="C70" s="86" t="s">
        <v>12</v>
      </c>
      <c r="D70" s="86" t="s">
        <v>13</v>
      </c>
      <c r="E70" s="86" t="s">
        <v>16</v>
      </c>
      <c r="G70" s="86">
        <v>49.88</v>
      </c>
      <c r="H70" s="86" t="s">
        <v>17</v>
      </c>
    </row>
    <row r="71" spans="1:8" x14ac:dyDescent="0.45">
      <c r="A71" s="86" t="s">
        <v>31</v>
      </c>
      <c r="B71" s="86" t="s">
        <v>11</v>
      </c>
      <c r="C71" s="86" t="s">
        <v>12</v>
      </c>
      <c r="D71" s="86" t="s">
        <v>20</v>
      </c>
      <c r="E71" s="86" t="s">
        <v>27</v>
      </c>
      <c r="F71" s="86">
        <v>10.5</v>
      </c>
      <c r="H71" s="86" t="s">
        <v>28</v>
      </c>
    </row>
    <row r="72" spans="1:8" x14ac:dyDescent="0.45">
      <c r="A72" s="86" t="s">
        <v>31</v>
      </c>
      <c r="B72" s="86" t="s">
        <v>11</v>
      </c>
      <c r="C72" s="86" t="s">
        <v>12</v>
      </c>
      <c r="D72" s="86" t="s">
        <v>20</v>
      </c>
      <c r="E72" s="86" t="s">
        <v>29</v>
      </c>
      <c r="H72" s="86" t="s">
        <v>30</v>
      </c>
    </row>
    <row r="73" spans="1:8" x14ac:dyDescent="0.45">
      <c r="A73" s="86" t="s">
        <v>39</v>
      </c>
      <c r="B73" s="86" t="s">
        <v>11</v>
      </c>
      <c r="C73" s="86" t="s">
        <v>38</v>
      </c>
      <c r="D73" s="86" t="s">
        <v>20</v>
      </c>
      <c r="E73" s="86" t="s">
        <v>25</v>
      </c>
      <c r="F73" s="86">
        <v>22</v>
      </c>
      <c r="G73" s="86">
        <v>22.66</v>
      </c>
      <c r="H73" s="86" t="s">
        <v>26</v>
      </c>
    </row>
    <row r="74" spans="1:8" x14ac:dyDescent="0.45">
      <c r="A74" s="86" t="s">
        <v>39</v>
      </c>
      <c r="B74" s="86" t="s">
        <v>11</v>
      </c>
      <c r="C74" s="86" t="s">
        <v>38</v>
      </c>
      <c r="D74" s="86" t="s">
        <v>13</v>
      </c>
      <c r="E74" s="86" t="s">
        <v>14</v>
      </c>
      <c r="F74" s="86">
        <v>137.5</v>
      </c>
      <c r="G74" s="86">
        <v>144.38</v>
      </c>
      <c r="H74" s="86" t="s">
        <v>15</v>
      </c>
    </row>
    <row r="75" spans="1:8" x14ac:dyDescent="0.45">
      <c r="A75" s="86" t="s">
        <v>39</v>
      </c>
      <c r="B75" s="86" t="s">
        <v>11</v>
      </c>
      <c r="C75" s="86" t="s">
        <v>38</v>
      </c>
      <c r="D75" s="86" t="s">
        <v>20</v>
      </c>
      <c r="E75" s="86" t="s">
        <v>21</v>
      </c>
      <c r="F75" s="86">
        <v>123.75</v>
      </c>
      <c r="G75" s="86">
        <v>131.18</v>
      </c>
      <c r="H75" s="86" t="s">
        <v>22</v>
      </c>
    </row>
    <row r="76" spans="1:8" x14ac:dyDescent="0.45">
      <c r="A76" s="86" t="s">
        <v>39</v>
      </c>
      <c r="B76" s="86" t="s">
        <v>11</v>
      </c>
      <c r="C76" s="86" t="s">
        <v>38</v>
      </c>
      <c r="D76" s="86" t="s">
        <v>20</v>
      </c>
      <c r="E76" s="86" t="s">
        <v>23</v>
      </c>
      <c r="F76" s="86">
        <v>27.5</v>
      </c>
      <c r="G76" s="86">
        <v>28.05</v>
      </c>
      <c r="H76" s="86" t="s">
        <v>24</v>
      </c>
    </row>
    <row r="77" spans="1:8" x14ac:dyDescent="0.45">
      <c r="A77" s="86" t="s">
        <v>39</v>
      </c>
      <c r="B77" s="86" t="s">
        <v>11</v>
      </c>
      <c r="C77" s="86" t="s">
        <v>38</v>
      </c>
      <c r="D77" s="86" t="s">
        <v>13</v>
      </c>
      <c r="E77" s="86" t="s">
        <v>16</v>
      </c>
      <c r="F77" s="86">
        <v>82.5</v>
      </c>
      <c r="G77" s="86">
        <v>76.72</v>
      </c>
      <c r="H77" s="86" t="s">
        <v>17</v>
      </c>
    </row>
    <row r="78" spans="1:8" x14ac:dyDescent="0.45">
      <c r="A78" s="86" t="s">
        <v>39</v>
      </c>
      <c r="B78" s="86" t="s">
        <v>11</v>
      </c>
      <c r="C78" s="86" t="s">
        <v>38</v>
      </c>
      <c r="D78" s="86" t="s">
        <v>13</v>
      </c>
      <c r="E78" s="86" t="s">
        <v>18</v>
      </c>
      <c r="F78" s="86">
        <v>55</v>
      </c>
      <c r="G78" s="86">
        <v>60.5</v>
      </c>
      <c r="H78" s="86" t="s">
        <v>19</v>
      </c>
    </row>
    <row r="79" spans="1:8" x14ac:dyDescent="0.45">
      <c r="A79" s="86" t="s">
        <v>39</v>
      </c>
      <c r="B79" s="86" t="s">
        <v>11</v>
      </c>
      <c r="C79" s="86" t="s">
        <v>38</v>
      </c>
      <c r="D79" s="86" t="s">
        <v>20</v>
      </c>
      <c r="E79" s="86" t="s">
        <v>27</v>
      </c>
      <c r="F79" s="86">
        <v>16.5</v>
      </c>
      <c r="G79" s="86">
        <v>17.32</v>
      </c>
      <c r="H79" s="86" t="s">
        <v>28</v>
      </c>
    </row>
    <row r="80" spans="1:8" x14ac:dyDescent="0.45">
      <c r="A80" s="86" t="s">
        <v>39</v>
      </c>
      <c r="B80" s="86" t="s">
        <v>11</v>
      </c>
      <c r="C80" s="86" t="s">
        <v>38</v>
      </c>
      <c r="D80" s="86" t="s">
        <v>20</v>
      </c>
      <c r="E80" s="86" t="s">
        <v>29</v>
      </c>
      <c r="F80" s="86">
        <v>11</v>
      </c>
      <c r="G80" s="86">
        <v>11.22</v>
      </c>
      <c r="H80" s="86" t="s">
        <v>30</v>
      </c>
    </row>
    <row r="81" spans="1:8" x14ac:dyDescent="0.45">
      <c r="A81" s="86" t="s">
        <v>37</v>
      </c>
      <c r="B81" s="86" t="s">
        <v>11</v>
      </c>
      <c r="C81" s="86" t="s">
        <v>38</v>
      </c>
      <c r="D81" s="86" t="s">
        <v>13</v>
      </c>
      <c r="E81" s="86" t="s">
        <v>14</v>
      </c>
      <c r="F81" s="86">
        <v>125</v>
      </c>
      <c r="G81" s="86">
        <v>130</v>
      </c>
      <c r="H81" s="86" t="s">
        <v>285</v>
      </c>
    </row>
    <row r="82" spans="1:8" x14ac:dyDescent="0.45">
      <c r="A82" s="86" t="s">
        <v>37</v>
      </c>
      <c r="B82" s="86" t="s">
        <v>11</v>
      </c>
      <c r="C82" s="86" t="s">
        <v>38</v>
      </c>
      <c r="D82" s="86" t="s">
        <v>20</v>
      </c>
      <c r="E82" s="86" t="s">
        <v>21</v>
      </c>
      <c r="F82" s="86">
        <v>112.5</v>
      </c>
      <c r="G82" s="86">
        <v>117</v>
      </c>
      <c r="H82" s="86" t="s">
        <v>22</v>
      </c>
    </row>
    <row r="83" spans="1:8" x14ac:dyDescent="0.45">
      <c r="A83" s="86" t="s">
        <v>37</v>
      </c>
      <c r="B83" s="86" t="s">
        <v>11</v>
      </c>
      <c r="C83" s="86" t="s">
        <v>38</v>
      </c>
      <c r="D83" s="86" t="s">
        <v>13</v>
      </c>
      <c r="E83" s="86" t="s">
        <v>16</v>
      </c>
      <c r="F83" s="86">
        <v>75</v>
      </c>
      <c r="G83" s="86">
        <v>70.5</v>
      </c>
      <c r="H83" s="86" t="s">
        <v>17</v>
      </c>
    </row>
    <row r="84" spans="1:8" x14ac:dyDescent="0.45">
      <c r="A84" s="86" t="s">
        <v>37</v>
      </c>
      <c r="B84" s="86" t="s">
        <v>11</v>
      </c>
      <c r="C84" s="86" t="s">
        <v>38</v>
      </c>
      <c r="D84" s="86" t="s">
        <v>20</v>
      </c>
      <c r="E84" s="86" t="s">
        <v>25</v>
      </c>
      <c r="F84" s="86">
        <v>20</v>
      </c>
      <c r="G84" s="86">
        <v>20.399999999999999</v>
      </c>
      <c r="H84" s="86" t="s">
        <v>26</v>
      </c>
    </row>
    <row r="85" spans="1:8" x14ac:dyDescent="0.45">
      <c r="A85" s="86" t="s">
        <v>37</v>
      </c>
      <c r="B85" s="86" t="s">
        <v>11</v>
      </c>
      <c r="C85" s="86" t="s">
        <v>38</v>
      </c>
      <c r="D85" s="86" t="s">
        <v>13</v>
      </c>
      <c r="E85" s="86" t="s">
        <v>18</v>
      </c>
      <c r="F85" s="86">
        <v>50</v>
      </c>
      <c r="G85" s="86">
        <v>54.5</v>
      </c>
      <c r="H85" s="86" t="s">
        <v>19</v>
      </c>
    </row>
    <row r="86" spans="1:8" x14ac:dyDescent="0.45">
      <c r="A86" s="86" t="s">
        <v>37</v>
      </c>
      <c r="B86" s="86" t="s">
        <v>11</v>
      </c>
      <c r="C86" s="86" t="s">
        <v>38</v>
      </c>
      <c r="D86" s="86" t="s">
        <v>20</v>
      </c>
      <c r="E86" s="86" t="s">
        <v>29</v>
      </c>
      <c r="F86" s="86">
        <v>10</v>
      </c>
      <c r="G86" s="86">
        <v>-450.5</v>
      </c>
      <c r="H86" s="86" t="s">
        <v>30</v>
      </c>
    </row>
    <row r="87" spans="1:8" x14ac:dyDescent="0.45">
      <c r="A87" s="86" t="s">
        <v>37</v>
      </c>
      <c r="B87" s="86" t="s">
        <v>11</v>
      </c>
      <c r="C87" s="86" t="s">
        <v>38</v>
      </c>
      <c r="D87" s="86" t="s">
        <v>20</v>
      </c>
      <c r="E87" s="86" t="s">
        <v>23</v>
      </c>
      <c r="G87" s="86">
        <v>25.75</v>
      </c>
      <c r="H87" s="86" t="s">
        <v>24</v>
      </c>
    </row>
    <row r="88" spans="1:8" x14ac:dyDescent="0.45">
      <c r="A88" s="86" t="s">
        <v>37</v>
      </c>
      <c r="B88" s="86" t="s">
        <v>11</v>
      </c>
      <c r="C88" s="86" t="s">
        <v>38</v>
      </c>
      <c r="D88" s="86" t="s">
        <v>20</v>
      </c>
      <c r="E88" s="86" t="s">
        <v>27</v>
      </c>
      <c r="F88" s="86">
        <v>1E-4</v>
      </c>
      <c r="G88" s="86">
        <v>15.6</v>
      </c>
      <c r="H88" s="86" t="s">
        <v>28</v>
      </c>
    </row>
    <row r="89" spans="1:8" x14ac:dyDescent="0.45">
      <c r="A89" s="86" t="s">
        <v>36</v>
      </c>
      <c r="B89" s="86" t="s">
        <v>11</v>
      </c>
      <c r="C89" s="86" t="s">
        <v>34</v>
      </c>
      <c r="D89" s="86" t="s">
        <v>13</v>
      </c>
      <c r="E89" s="86" t="s">
        <v>14</v>
      </c>
      <c r="F89" s="86">
        <v>100</v>
      </c>
      <c r="G89" s="86">
        <v>103</v>
      </c>
      <c r="H89" s="86" t="s">
        <v>15</v>
      </c>
    </row>
    <row r="90" spans="1:8" x14ac:dyDescent="0.45">
      <c r="A90" s="86" t="s">
        <v>36</v>
      </c>
      <c r="B90" s="86" t="s">
        <v>11</v>
      </c>
      <c r="C90" s="86" t="s">
        <v>34</v>
      </c>
      <c r="D90" s="86" t="s">
        <v>20</v>
      </c>
      <c r="E90" s="86" t="s">
        <v>21</v>
      </c>
      <c r="F90" s="86">
        <v>90</v>
      </c>
      <c r="G90" s="86">
        <v>94.5</v>
      </c>
      <c r="H90" s="86" t="s">
        <v>22</v>
      </c>
    </row>
    <row r="91" spans="1:8" x14ac:dyDescent="0.45">
      <c r="A91" s="86" t="s">
        <v>36</v>
      </c>
      <c r="B91" s="86" t="s">
        <v>11</v>
      </c>
      <c r="C91" s="86" t="s">
        <v>34</v>
      </c>
      <c r="D91" s="86" t="s">
        <v>20</v>
      </c>
      <c r="E91" s="86" t="s">
        <v>29</v>
      </c>
      <c r="F91" s="86">
        <v>8</v>
      </c>
      <c r="G91" s="86">
        <v>8</v>
      </c>
      <c r="H91" s="86" t="s">
        <v>163</v>
      </c>
    </row>
    <row r="92" spans="1:8" x14ac:dyDescent="0.45">
      <c r="A92" s="86" t="s">
        <v>36</v>
      </c>
      <c r="B92" s="86" t="s">
        <v>11</v>
      </c>
      <c r="C92" s="86" t="s">
        <v>34</v>
      </c>
      <c r="D92" s="86" t="s">
        <v>20</v>
      </c>
      <c r="E92" s="86" t="s">
        <v>27</v>
      </c>
      <c r="F92" s="86">
        <v>12</v>
      </c>
      <c r="G92" s="86">
        <v>12.36</v>
      </c>
      <c r="H92" s="86" t="s">
        <v>28</v>
      </c>
    </row>
    <row r="93" spans="1:8" x14ac:dyDescent="0.45">
      <c r="A93" s="86" t="s">
        <v>36</v>
      </c>
      <c r="B93" s="86" t="s">
        <v>11</v>
      </c>
      <c r="C93" s="86" t="s">
        <v>34</v>
      </c>
      <c r="D93" s="86" t="s">
        <v>20</v>
      </c>
      <c r="E93" s="86" t="s">
        <v>25</v>
      </c>
      <c r="F93" s="86">
        <v>16</v>
      </c>
      <c r="G93" s="86">
        <v>16.64</v>
      </c>
      <c r="H93" s="86" t="s">
        <v>355</v>
      </c>
    </row>
    <row r="94" spans="1:8" x14ac:dyDescent="0.45">
      <c r="A94" s="86" t="s">
        <v>36</v>
      </c>
      <c r="B94" s="86" t="s">
        <v>11</v>
      </c>
      <c r="C94" s="86" t="s">
        <v>34</v>
      </c>
      <c r="D94" s="86" t="s">
        <v>13</v>
      </c>
      <c r="E94" s="86" t="s">
        <v>18</v>
      </c>
      <c r="F94" s="86">
        <v>40</v>
      </c>
      <c r="G94" s="86">
        <v>43.2</v>
      </c>
      <c r="H94" s="86" t="s">
        <v>19</v>
      </c>
    </row>
    <row r="95" spans="1:8" x14ac:dyDescent="0.45">
      <c r="A95" s="86" t="s">
        <v>36</v>
      </c>
      <c r="B95" s="86" t="s">
        <v>11</v>
      </c>
      <c r="C95" s="86" t="s">
        <v>34</v>
      </c>
      <c r="D95" s="86" t="s">
        <v>13</v>
      </c>
      <c r="E95" s="86" t="s">
        <v>16</v>
      </c>
      <c r="F95" s="86">
        <v>60</v>
      </c>
      <c r="G95" s="86">
        <v>55.2</v>
      </c>
      <c r="H95" s="86" t="s">
        <v>17</v>
      </c>
    </row>
    <row r="96" spans="1:8" x14ac:dyDescent="0.45">
      <c r="A96" s="86" t="s">
        <v>36</v>
      </c>
      <c r="B96" s="86" t="s">
        <v>11</v>
      </c>
      <c r="C96" s="86" t="s">
        <v>34</v>
      </c>
      <c r="D96" s="86" t="s">
        <v>20</v>
      </c>
      <c r="E96" s="86" t="s">
        <v>23</v>
      </c>
      <c r="F96" s="86">
        <v>20</v>
      </c>
      <c r="G96" s="86">
        <v>20.399999999999999</v>
      </c>
      <c r="H96" s="86" t="s">
        <v>24</v>
      </c>
    </row>
    <row r="97" spans="1:8" x14ac:dyDescent="0.45">
      <c r="A97" s="86" t="s">
        <v>45</v>
      </c>
      <c r="B97" s="86" t="s">
        <v>46</v>
      </c>
      <c r="C97" s="86" t="s">
        <v>12</v>
      </c>
      <c r="D97" s="86" t="s">
        <v>13</v>
      </c>
      <c r="E97" s="86" t="s">
        <v>14</v>
      </c>
      <c r="F97" s="86">
        <v>96.6</v>
      </c>
      <c r="G97" s="86">
        <v>99.5</v>
      </c>
      <c r="H97" s="86" t="s">
        <v>15</v>
      </c>
    </row>
    <row r="98" spans="1:8" x14ac:dyDescent="0.45">
      <c r="A98" s="86" t="s">
        <v>45</v>
      </c>
      <c r="B98" s="86" t="s">
        <v>46</v>
      </c>
      <c r="C98" s="86" t="s">
        <v>12</v>
      </c>
      <c r="D98" s="86" t="s">
        <v>20</v>
      </c>
      <c r="E98" s="86" t="s">
        <v>29</v>
      </c>
      <c r="F98" s="86">
        <v>7.7</v>
      </c>
      <c r="G98" s="86">
        <v>7.78</v>
      </c>
      <c r="H98" s="86" t="s">
        <v>30</v>
      </c>
    </row>
    <row r="99" spans="1:8" x14ac:dyDescent="0.45">
      <c r="A99" s="86" t="s">
        <v>45</v>
      </c>
      <c r="B99" s="86" t="s">
        <v>46</v>
      </c>
      <c r="C99" s="86" t="s">
        <v>12</v>
      </c>
      <c r="D99" s="86" t="s">
        <v>20</v>
      </c>
      <c r="E99" s="86" t="s">
        <v>25</v>
      </c>
      <c r="F99" s="86">
        <v>15.75</v>
      </c>
      <c r="G99" s="86">
        <v>17.010000000000002</v>
      </c>
      <c r="H99" s="86" t="s">
        <v>26</v>
      </c>
    </row>
    <row r="100" spans="1:8" x14ac:dyDescent="0.45">
      <c r="A100" s="86" t="s">
        <v>45</v>
      </c>
      <c r="B100" s="86" t="s">
        <v>46</v>
      </c>
      <c r="C100" s="86" t="s">
        <v>12</v>
      </c>
      <c r="D100" s="86" t="s">
        <v>13</v>
      </c>
      <c r="E100" s="86" t="s">
        <v>16</v>
      </c>
      <c r="F100" s="86">
        <v>53.9</v>
      </c>
      <c r="G100" s="86">
        <v>48.51</v>
      </c>
      <c r="H100" s="86" t="s">
        <v>451</v>
      </c>
    </row>
    <row r="101" spans="1:8" x14ac:dyDescent="0.45">
      <c r="A101" s="86" t="s">
        <v>45</v>
      </c>
      <c r="B101" s="86" t="s">
        <v>46</v>
      </c>
      <c r="C101" s="86" t="s">
        <v>12</v>
      </c>
      <c r="D101" s="86" t="s">
        <v>20</v>
      </c>
      <c r="E101" s="86" t="s">
        <v>27</v>
      </c>
      <c r="F101" s="86">
        <v>11.55</v>
      </c>
      <c r="G101" s="86">
        <v>11.9</v>
      </c>
      <c r="H101" s="86" t="s">
        <v>28</v>
      </c>
    </row>
    <row r="102" spans="1:8" x14ac:dyDescent="0.45">
      <c r="A102" s="86" t="s">
        <v>45</v>
      </c>
      <c r="B102" s="86" t="s">
        <v>46</v>
      </c>
      <c r="C102" s="86" t="s">
        <v>12</v>
      </c>
      <c r="D102" s="86" t="s">
        <v>20</v>
      </c>
      <c r="E102" s="86" t="s">
        <v>23</v>
      </c>
      <c r="F102" s="86">
        <v>19.2</v>
      </c>
      <c r="G102" s="86">
        <v>19.440000000000001</v>
      </c>
      <c r="H102" s="86" t="s">
        <v>24</v>
      </c>
    </row>
    <row r="103" spans="1:8" x14ac:dyDescent="0.45">
      <c r="A103" s="86" t="s">
        <v>45</v>
      </c>
      <c r="B103" s="86" t="s">
        <v>46</v>
      </c>
      <c r="C103" s="86" t="s">
        <v>12</v>
      </c>
      <c r="D103" s="86" t="s">
        <v>13</v>
      </c>
      <c r="E103" s="86" t="s">
        <v>18</v>
      </c>
      <c r="G103" s="86">
        <v>45.36</v>
      </c>
      <c r="H103" s="86" t="s">
        <v>19</v>
      </c>
    </row>
    <row r="104" spans="1:8" x14ac:dyDescent="0.45">
      <c r="A104" s="86" t="s">
        <v>45</v>
      </c>
      <c r="B104" s="86" t="s">
        <v>46</v>
      </c>
      <c r="C104" s="86" t="s">
        <v>12</v>
      </c>
      <c r="D104" s="86" t="s">
        <v>20</v>
      </c>
      <c r="E104" s="86" t="s">
        <v>21</v>
      </c>
      <c r="F104" s="86">
        <v>0.99999000000000005</v>
      </c>
      <c r="G104" s="86">
        <v>88.94</v>
      </c>
      <c r="H104" s="86" t="s">
        <v>22</v>
      </c>
    </row>
    <row r="105" spans="1:8" x14ac:dyDescent="0.45">
      <c r="A105" s="86" t="s">
        <v>50</v>
      </c>
      <c r="B105" s="86" t="s">
        <v>46</v>
      </c>
      <c r="C105" s="86" t="s">
        <v>34</v>
      </c>
      <c r="D105" s="86" t="s">
        <v>13</v>
      </c>
      <c r="E105" s="86" t="s">
        <v>16</v>
      </c>
      <c r="F105" s="86">
        <v>61.6</v>
      </c>
      <c r="G105" s="86">
        <v>53.59</v>
      </c>
      <c r="H105" s="86" t="s">
        <v>17</v>
      </c>
    </row>
    <row r="106" spans="1:8" x14ac:dyDescent="0.45">
      <c r="A106" s="86" t="s">
        <v>50</v>
      </c>
      <c r="B106" s="86" t="s">
        <v>46</v>
      </c>
      <c r="C106" s="86" t="s">
        <v>34</v>
      </c>
      <c r="D106" s="86" t="s">
        <v>20</v>
      </c>
      <c r="E106" s="86" t="s">
        <v>27</v>
      </c>
      <c r="F106" s="86">
        <v>13.2</v>
      </c>
      <c r="G106" s="86">
        <v>13.73</v>
      </c>
      <c r="H106" s="86" t="s">
        <v>428</v>
      </c>
    </row>
    <row r="107" spans="1:8" x14ac:dyDescent="0.45">
      <c r="A107" s="86" t="s">
        <v>50</v>
      </c>
      <c r="B107" s="86" t="s">
        <v>46</v>
      </c>
      <c r="C107" s="86" t="s">
        <v>34</v>
      </c>
      <c r="D107" s="86" t="s">
        <v>20</v>
      </c>
      <c r="E107" s="86" t="s">
        <v>21</v>
      </c>
      <c r="F107" s="86">
        <v>96.8</v>
      </c>
      <c r="G107" s="86">
        <v>102.61</v>
      </c>
      <c r="H107" s="86" t="s">
        <v>22</v>
      </c>
    </row>
    <row r="108" spans="1:8" x14ac:dyDescent="0.45">
      <c r="A108" s="86" t="s">
        <v>50</v>
      </c>
      <c r="B108" s="86" t="s">
        <v>46</v>
      </c>
      <c r="C108" s="86" t="s">
        <v>34</v>
      </c>
      <c r="D108" s="86" t="s">
        <v>20</v>
      </c>
      <c r="E108" s="86" t="s">
        <v>25</v>
      </c>
      <c r="F108" s="86">
        <v>18</v>
      </c>
      <c r="G108" s="86">
        <v>19.98</v>
      </c>
      <c r="H108" s="86" t="s">
        <v>26</v>
      </c>
    </row>
    <row r="109" spans="1:8" x14ac:dyDescent="0.45">
      <c r="A109" s="86" t="s">
        <v>50</v>
      </c>
      <c r="B109" s="86" t="s">
        <v>46</v>
      </c>
      <c r="C109" s="86" t="s">
        <v>34</v>
      </c>
      <c r="D109" s="86" t="s">
        <v>13</v>
      </c>
      <c r="E109" s="86" t="s">
        <v>18</v>
      </c>
      <c r="F109" s="86">
        <v>48</v>
      </c>
      <c r="G109" s="86">
        <v>52.8</v>
      </c>
      <c r="H109" s="86" t="s">
        <v>19</v>
      </c>
    </row>
    <row r="110" spans="1:8" x14ac:dyDescent="0.45">
      <c r="A110" s="86" t="s">
        <v>50</v>
      </c>
      <c r="B110" s="86" t="s">
        <v>46</v>
      </c>
      <c r="C110" s="86" t="s">
        <v>34</v>
      </c>
      <c r="D110" s="86" t="s">
        <v>20</v>
      </c>
      <c r="E110" s="86" t="s">
        <v>23</v>
      </c>
      <c r="F110" s="86">
        <v>22</v>
      </c>
      <c r="H110" s="86" t="s">
        <v>24</v>
      </c>
    </row>
    <row r="111" spans="1:8" x14ac:dyDescent="0.45">
      <c r="A111" s="86" t="s">
        <v>50</v>
      </c>
      <c r="B111" s="86" t="s">
        <v>46</v>
      </c>
      <c r="C111" s="86" t="s">
        <v>34</v>
      </c>
      <c r="D111" s="86" t="s">
        <v>13</v>
      </c>
      <c r="E111" s="86" t="s">
        <v>14</v>
      </c>
      <c r="F111" s="86">
        <v>110.4</v>
      </c>
      <c r="H111" s="86" t="s">
        <v>15</v>
      </c>
    </row>
    <row r="112" spans="1:8" x14ac:dyDescent="0.45">
      <c r="A112" s="86" t="s">
        <v>50</v>
      </c>
      <c r="B112" s="86" t="s">
        <v>46</v>
      </c>
      <c r="C112" s="86" t="s">
        <v>34</v>
      </c>
      <c r="D112" s="86" t="s">
        <v>20</v>
      </c>
      <c r="E112" s="86" t="s">
        <v>29</v>
      </c>
      <c r="F112" s="86">
        <v>0.99999000000000005</v>
      </c>
      <c r="G112" s="86">
        <v>8.89</v>
      </c>
      <c r="H112" s="86" t="s">
        <v>30</v>
      </c>
    </row>
    <row r="113" spans="1:8" x14ac:dyDescent="0.45">
      <c r="A113" s="86" t="s">
        <v>54</v>
      </c>
      <c r="B113" s="86" t="s">
        <v>46</v>
      </c>
      <c r="C113" s="86" t="s">
        <v>38</v>
      </c>
      <c r="D113" s="86" t="s">
        <v>20</v>
      </c>
      <c r="E113" s="86" t="s">
        <v>27</v>
      </c>
      <c r="F113" s="86">
        <v>16.5</v>
      </c>
      <c r="G113" s="86">
        <v>17.16</v>
      </c>
      <c r="H113" s="86" t="s">
        <v>28</v>
      </c>
    </row>
    <row r="114" spans="1:8" x14ac:dyDescent="0.45">
      <c r="A114" s="86" t="s">
        <v>54</v>
      </c>
      <c r="B114" s="86" t="s">
        <v>46</v>
      </c>
      <c r="C114" s="86" t="s">
        <v>38</v>
      </c>
      <c r="D114" s="86" t="s">
        <v>20</v>
      </c>
      <c r="E114" s="86" t="s">
        <v>23</v>
      </c>
      <c r="F114" s="86">
        <v>27.5</v>
      </c>
      <c r="G114" s="86">
        <v>27.23</v>
      </c>
      <c r="H114" s="86" t="s">
        <v>415</v>
      </c>
    </row>
    <row r="115" spans="1:8" x14ac:dyDescent="0.45">
      <c r="A115" s="86" t="s">
        <v>54</v>
      </c>
      <c r="B115" s="86" t="s">
        <v>46</v>
      </c>
      <c r="C115" s="86" t="s">
        <v>38</v>
      </c>
      <c r="D115" s="86" t="s">
        <v>13</v>
      </c>
      <c r="E115" s="86" t="s">
        <v>14</v>
      </c>
      <c r="F115" s="86">
        <v>138</v>
      </c>
      <c r="G115" s="86">
        <v>143.52000000000001</v>
      </c>
      <c r="H115" s="86" t="s">
        <v>15</v>
      </c>
    </row>
    <row r="116" spans="1:8" x14ac:dyDescent="0.45">
      <c r="A116" s="86" t="s">
        <v>54</v>
      </c>
      <c r="B116" s="86" t="s">
        <v>46</v>
      </c>
      <c r="C116" s="86" t="s">
        <v>38</v>
      </c>
      <c r="D116" s="86" t="s">
        <v>20</v>
      </c>
      <c r="E116" s="86" t="s">
        <v>21</v>
      </c>
      <c r="F116" s="86">
        <v>121</v>
      </c>
      <c r="G116" s="86">
        <v>130.68</v>
      </c>
      <c r="H116" s="86" t="s">
        <v>22</v>
      </c>
    </row>
    <row r="117" spans="1:8" x14ac:dyDescent="0.45">
      <c r="A117" s="86" t="s">
        <v>54</v>
      </c>
      <c r="B117" s="86" t="s">
        <v>46</v>
      </c>
      <c r="C117" s="86" t="s">
        <v>38</v>
      </c>
      <c r="D117" s="86" t="s">
        <v>20</v>
      </c>
      <c r="E117" s="86" t="s">
        <v>29</v>
      </c>
      <c r="F117" s="86">
        <v>11</v>
      </c>
      <c r="G117" s="86">
        <v>11.11</v>
      </c>
      <c r="H117" s="86" t="s">
        <v>30</v>
      </c>
    </row>
    <row r="118" spans="1:8" x14ac:dyDescent="0.45">
      <c r="A118" s="86" t="s">
        <v>54</v>
      </c>
      <c r="B118" s="86" t="s">
        <v>46</v>
      </c>
      <c r="C118" s="86" t="s">
        <v>38</v>
      </c>
      <c r="D118" s="86" t="s">
        <v>13</v>
      </c>
      <c r="E118" s="86" t="s">
        <v>18</v>
      </c>
      <c r="F118" s="86">
        <v>60</v>
      </c>
      <c r="G118" s="86">
        <v>66.599999999999994</v>
      </c>
      <c r="H118" s="86" t="s">
        <v>19</v>
      </c>
    </row>
    <row r="119" spans="1:8" x14ac:dyDescent="0.45">
      <c r="A119" s="86" t="s">
        <v>54</v>
      </c>
      <c r="B119" s="86" t="s">
        <v>46</v>
      </c>
      <c r="C119" s="86" t="s">
        <v>38</v>
      </c>
      <c r="D119" s="86" t="s">
        <v>13</v>
      </c>
      <c r="E119" s="86" t="s">
        <v>16</v>
      </c>
      <c r="F119" s="86">
        <v>77</v>
      </c>
      <c r="G119" s="86">
        <v>65.45</v>
      </c>
      <c r="H119" s="86" t="s">
        <v>17</v>
      </c>
    </row>
    <row r="120" spans="1:8" x14ac:dyDescent="0.45">
      <c r="A120" s="86" t="s">
        <v>54</v>
      </c>
      <c r="B120" s="86" t="s">
        <v>46</v>
      </c>
      <c r="C120" s="86" t="s">
        <v>38</v>
      </c>
      <c r="D120" s="86" t="s">
        <v>20</v>
      </c>
      <c r="E120" s="86" t="s">
        <v>25</v>
      </c>
      <c r="F120" s="86">
        <v>24.98</v>
      </c>
      <c r="G120" s="86">
        <v>22.5</v>
      </c>
      <c r="H120" s="86" t="s">
        <v>26</v>
      </c>
    </row>
    <row r="121" spans="1:8" x14ac:dyDescent="0.45">
      <c r="A121" s="86" t="s">
        <v>56</v>
      </c>
      <c r="B121" s="86" t="s">
        <v>46</v>
      </c>
      <c r="C121" s="86" t="s">
        <v>42</v>
      </c>
      <c r="D121" s="86" t="s">
        <v>20</v>
      </c>
      <c r="E121" s="86" t="s">
        <v>23</v>
      </c>
      <c r="F121" s="86">
        <v>22</v>
      </c>
      <c r="G121" s="86">
        <v>22.22</v>
      </c>
      <c r="H121" s="86" t="s">
        <v>24</v>
      </c>
    </row>
    <row r="122" spans="1:8" x14ac:dyDescent="0.45">
      <c r="A122" s="86" t="s">
        <v>56</v>
      </c>
      <c r="B122" s="86" t="s">
        <v>46</v>
      </c>
      <c r="C122" s="86" t="s">
        <v>42</v>
      </c>
      <c r="D122" s="86" t="s">
        <v>20</v>
      </c>
      <c r="E122" s="86" t="s">
        <v>21</v>
      </c>
      <c r="F122" s="86">
        <v>96.8</v>
      </c>
      <c r="G122" s="86">
        <v>104.54</v>
      </c>
      <c r="H122" s="86" t="s">
        <v>22</v>
      </c>
    </row>
    <row r="123" spans="1:8" x14ac:dyDescent="0.45">
      <c r="A123" s="86" t="s">
        <v>56</v>
      </c>
      <c r="B123" s="86" t="s">
        <v>46</v>
      </c>
      <c r="C123" s="86" t="s">
        <v>42</v>
      </c>
      <c r="D123" s="86" t="s">
        <v>13</v>
      </c>
      <c r="E123" s="86" t="s">
        <v>14</v>
      </c>
      <c r="F123" s="86">
        <v>110.4</v>
      </c>
      <c r="G123" s="86">
        <v>114.8</v>
      </c>
      <c r="H123" s="86" t="s">
        <v>15</v>
      </c>
    </row>
    <row r="124" spans="1:8" x14ac:dyDescent="0.45">
      <c r="A124" s="86" t="s">
        <v>56</v>
      </c>
      <c r="B124" s="86" t="s">
        <v>46</v>
      </c>
      <c r="C124" s="86" t="s">
        <v>42</v>
      </c>
      <c r="D124" s="86" t="s">
        <v>20</v>
      </c>
      <c r="E124" s="86" t="s">
        <v>27</v>
      </c>
      <c r="F124" s="86">
        <v>13.2</v>
      </c>
      <c r="G124" s="86">
        <v>13.73</v>
      </c>
      <c r="H124" s="86" t="s">
        <v>239</v>
      </c>
    </row>
    <row r="125" spans="1:8" x14ac:dyDescent="0.45">
      <c r="A125" s="86" t="s">
        <v>56</v>
      </c>
      <c r="B125" s="86" t="s">
        <v>46</v>
      </c>
      <c r="C125" s="86" t="s">
        <v>42</v>
      </c>
      <c r="D125" s="86" t="s">
        <v>20</v>
      </c>
      <c r="E125" s="86" t="s">
        <v>29</v>
      </c>
      <c r="F125" s="86">
        <v>8.8000000000000007</v>
      </c>
      <c r="G125" s="86">
        <v>8.8000000000000007</v>
      </c>
      <c r="H125" s="86" t="s">
        <v>30</v>
      </c>
    </row>
    <row r="126" spans="1:8" x14ac:dyDescent="0.45">
      <c r="A126" s="86" t="s">
        <v>56</v>
      </c>
      <c r="B126" s="86" t="s">
        <v>46</v>
      </c>
      <c r="C126" s="86" t="s">
        <v>42</v>
      </c>
      <c r="D126" s="86" t="s">
        <v>20</v>
      </c>
      <c r="E126" s="86" t="s">
        <v>25</v>
      </c>
      <c r="F126" s="86">
        <v>18</v>
      </c>
      <c r="G126" s="86">
        <v>19.8</v>
      </c>
      <c r="H126" s="86" t="s">
        <v>184</v>
      </c>
    </row>
    <row r="127" spans="1:8" x14ac:dyDescent="0.45">
      <c r="A127" s="86" t="s">
        <v>56</v>
      </c>
      <c r="B127" s="86" t="s">
        <v>46</v>
      </c>
      <c r="C127" s="86" t="s">
        <v>42</v>
      </c>
      <c r="D127" s="86" t="s">
        <v>13</v>
      </c>
      <c r="E127" s="86" t="s">
        <v>16</v>
      </c>
      <c r="F127" s="86">
        <v>61.6</v>
      </c>
      <c r="H127" s="86" t="s">
        <v>17</v>
      </c>
    </row>
    <row r="128" spans="1:8" x14ac:dyDescent="0.45">
      <c r="A128" s="86" t="s">
        <v>56</v>
      </c>
      <c r="B128" s="86" t="s">
        <v>46</v>
      </c>
      <c r="C128" s="86" t="s">
        <v>42</v>
      </c>
      <c r="D128" s="86" t="s">
        <v>13</v>
      </c>
      <c r="E128" s="86" t="s">
        <v>18</v>
      </c>
      <c r="F128" s="86">
        <v>48</v>
      </c>
      <c r="H128" s="86" t="s">
        <v>19</v>
      </c>
    </row>
    <row r="129" spans="1:8" x14ac:dyDescent="0.45">
      <c r="A129" s="86" t="s">
        <v>55</v>
      </c>
      <c r="B129" s="86" t="s">
        <v>46</v>
      </c>
      <c r="C129" s="86" t="s">
        <v>42</v>
      </c>
      <c r="D129" s="86" t="s">
        <v>20</v>
      </c>
      <c r="E129" s="86" t="s">
        <v>29</v>
      </c>
      <c r="F129" s="86">
        <v>9.9</v>
      </c>
      <c r="G129" s="86">
        <v>10</v>
      </c>
      <c r="H129" s="86" t="s">
        <v>30</v>
      </c>
    </row>
    <row r="130" spans="1:8" x14ac:dyDescent="0.45">
      <c r="A130" s="86" t="s">
        <v>55</v>
      </c>
      <c r="B130" s="86" t="s">
        <v>46</v>
      </c>
      <c r="C130" s="86" t="s">
        <v>42</v>
      </c>
      <c r="D130" s="86" t="s">
        <v>20</v>
      </c>
      <c r="E130" s="86" t="s">
        <v>27</v>
      </c>
      <c r="F130" s="86">
        <v>15.59</v>
      </c>
      <c r="G130" s="86">
        <v>14.85</v>
      </c>
      <c r="H130" s="86" t="s">
        <v>28</v>
      </c>
    </row>
    <row r="131" spans="1:8" x14ac:dyDescent="0.45">
      <c r="A131" s="86" t="s">
        <v>55</v>
      </c>
      <c r="B131" s="86" t="s">
        <v>46</v>
      </c>
      <c r="C131" s="86" t="s">
        <v>42</v>
      </c>
      <c r="D131" s="86" t="s">
        <v>13</v>
      </c>
      <c r="E131" s="86" t="s">
        <v>16</v>
      </c>
      <c r="F131" s="86">
        <v>69.3</v>
      </c>
      <c r="G131" s="86">
        <v>59.6</v>
      </c>
      <c r="H131" s="86" t="s">
        <v>277</v>
      </c>
    </row>
    <row r="132" spans="1:8" x14ac:dyDescent="0.45">
      <c r="A132" s="86" t="s">
        <v>55</v>
      </c>
      <c r="B132" s="86" t="s">
        <v>46</v>
      </c>
      <c r="C132" s="86" t="s">
        <v>42</v>
      </c>
      <c r="D132" s="86" t="s">
        <v>20</v>
      </c>
      <c r="E132" s="86" t="s">
        <v>23</v>
      </c>
      <c r="F132" s="86">
        <v>24.75</v>
      </c>
      <c r="G132" s="86">
        <v>25.25</v>
      </c>
      <c r="H132" s="86" t="s">
        <v>24</v>
      </c>
    </row>
    <row r="133" spans="1:8" x14ac:dyDescent="0.45">
      <c r="A133" s="86" t="s">
        <v>55</v>
      </c>
      <c r="B133" s="86" t="s">
        <v>46</v>
      </c>
      <c r="C133" s="86" t="s">
        <v>42</v>
      </c>
      <c r="D133" s="86" t="s">
        <v>13</v>
      </c>
      <c r="E133" s="86" t="s">
        <v>14</v>
      </c>
      <c r="F133" s="86">
        <v>124.2</v>
      </c>
      <c r="G133" s="86">
        <v>130.41</v>
      </c>
      <c r="H133" s="86" t="s">
        <v>204</v>
      </c>
    </row>
    <row r="134" spans="1:8" x14ac:dyDescent="0.45">
      <c r="A134" s="86" t="s">
        <v>55</v>
      </c>
      <c r="B134" s="86" t="s">
        <v>46</v>
      </c>
      <c r="C134" s="86" t="s">
        <v>42</v>
      </c>
      <c r="D134" s="86" t="s">
        <v>13</v>
      </c>
      <c r="E134" s="86" t="s">
        <v>18</v>
      </c>
      <c r="F134" s="86">
        <v>54</v>
      </c>
      <c r="G134" s="86">
        <v>61.02</v>
      </c>
      <c r="H134" s="86" t="s">
        <v>19</v>
      </c>
    </row>
    <row r="135" spans="1:8" x14ac:dyDescent="0.45">
      <c r="A135" s="86" t="s">
        <v>55</v>
      </c>
      <c r="B135" s="86" t="s">
        <v>46</v>
      </c>
      <c r="C135" s="86" t="s">
        <v>42</v>
      </c>
      <c r="D135" s="86" t="s">
        <v>20</v>
      </c>
      <c r="E135" s="86" t="s">
        <v>25</v>
      </c>
      <c r="F135" s="86">
        <v>20.25</v>
      </c>
      <c r="H135" s="86" t="s">
        <v>26</v>
      </c>
    </row>
    <row r="136" spans="1:8" x14ac:dyDescent="0.45">
      <c r="A136" s="86" t="s">
        <v>55</v>
      </c>
      <c r="B136" s="86" t="s">
        <v>46</v>
      </c>
      <c r="C136" s="86" t="s">
        <v>42</v>
      </c>
      <c r="D136" s="86" t="s">
        <v>20</v>
      </c>
      <c r="E136" s="86" t="s">
        <v>21</v>
      </c>
      <c r="F136" s="86">
        <v>108.9</v>
      </c>
      <c r="H136" s="86" t="s">
        <v>22</v>
      </c>
    </row>
    <row r="137" spans="1:8" x14ac:dyDescent="0.45">
      <c r="A137" s="86" t="s">
        <v>49</v>
      </c>
      <c r="B137" s="86" t="s">
        <v>46</v>
      </c>
      <c r="C137" s="86" t="s">
        <v>34</v>
      </c>
      <c r="D137" s="86" t="s">
        <v>13</v>
      </c>
      <c r="E137" s="86" t="s">
        <v>16</v>
      </c>
      <c r="F137" s="86">
        <v>61.6</v>
      </c>
      <c r="G137" s="86">
        <v>54.82</v>
      </c>
      <c r="H137" s="86" t="s">
        <v>17</v>
      </c>
    </row>
    <row r="138" spans="1:8" x14ac:dyDescent="0.45">
      <c r="A138" s="86" t="s">
        <v>49</v>
      </c>
      <c r="B138" s="86" t="s">
        <v>46</v>
      </c>
      <c r="C138" s="86" t="s">
        <v>34</v>
      </c>
      <c r="D138" s="86" t="s">
        <v>20</v>
      </c>
      <c r="E138" s="86" t="s">
        <v>27</v>
      </c>
      <c r="F138" s="86">
        <v>13.2</v>
      </c>
      <c r="G138" s="86">
        <v>13.86</v>
      </c>
      <c r="H138" s="86" t="s">
        <v>28</v>
      </c>
    </row>
    <row r="139" spans="1:8" x14ac:dyDescent="0.45">
      <c r="A139" s="86" t="s">
        <v>49</v>
      </c>
      <c r="B139" s="86" t="s">
        <v>46</v>
      </c>
      <c r="C139" s="86" t="s">
        <v>34</v>
      </c>
      <c r="D139" s="86" t="s">
        <v>20</v>
      </c>
      <c r="E139" s="86" t="s">
        <v>21</v>
      </c>
      <c r="F139" s="86">
        <v>96.8</v>
      </c>
      <c r="G139" s="86">
        <v>103.58</v>
      </c>
      <c r="H139" s="86" t="s">
        <v>22</v>
      </c>
    </row>
    <row r="140" spans="1:8" x14ac:dyDescent="0.45">
      <c r="A140" s="86" t="s">
        <v>49</v>
      </c>
      <c r="B140" s="86" t="s">
        <v>46</v>
      </c>
      <c r="C140" s="86" t="s">
        <v>34</v>
      </c>
      <c r="D140" s="86" t="s">
        <v>20</v>
      </c>
      <c r="E140" s="86" t="s">
        <v>23</v>
      </c>
      <c r="F140" s="86">
        <v>22</v>
      </c>
      <c r="G140" s="86">
        <v>22.22</v>
      </c>
      <c r="H140" s="86" t="s">
        <v>24</v>
      </c>
    </row>
    <row r="141" spans="1:8" x14ac:dyDescent="0.45">
      <c r="A141" s="86" t="s">
        <v>49</v>
      </c>
      <c r="B141" s="86" t="s">
        <v>46</v>
      </c>
      <c r="C141" s="86" t="s">
        <v>34</v>
      </c>
      <c r="D141" s="86" t="s">
        <v>20</v>
      </c>
      <c r="E141" s="86" t="s">
        <v>29</v>
      </c>
      <c r="F141" s="86">
        <v>8.8000000000000007</v>
      </c>
      <c r="G141" s="86">
        <v>8.98</v>
      </c>
      <c r="H141" s="86" t="s">
        <v>234</v>
      </c>
    </row>
    <row r="142" spans="1:8" x14ac:dyDescent="0.45">
      <c r="A142" s="86" t="s">
        <v>49</v>
      </c>
      <c r="B142" s="86" t="s">
        <v>46</v>
      </c>
      <c r="C142" s="86" t="s">
        <v>34</v>
      </c>
      <c r="D142" s="86" t="s">
        <v>20</v>
      </c>
      <c r="E142" s="86" t="s">
        <v>25</v>
      </c>
      <c r="F142" s="86">
        <v>18</v>
      </c>
      <c r="G142" s="86">
        <v>19.62</v>
      </c>
      <c r="H142" s="86" t="s">
        <v>26</v>
      </c>
    </row>
    <row r="143" spans="1:8" x14ac:dyDescent="0.45">
      <c r="A143" s="86" t="s">
        <v>49</v>
      </c>
      <c r="B143" s="86" t="s">
        <v>46</v>
      </c>
      <c r="C143" s="86" t="s">
        <v>34</v>
      </c>
      <c r="D143" s="86" t="s">
        <v>13</v>
      </c>
      <c r="E143" s="86" t="s">
        <v>14</v>
      </c>
      <c r="F143" s="86">
        <v>110.4</v>
      </c>
      <c r="G143" s="86">
        <v>113.71</v>
      </c>
      <c r="H143" s="86" t="s">
        <v>15</v>
      </c>
    </row>
    <row r="144" spans="1:8" x14ac:dyDescent="0.45">
      <c r="A144" s="86" t="s">
        <v>49</v>
      </c>
      <c r="B144" s="86" t="s">
        <v>46</v>
      </c>
      <c r="C144" s="86" t="s">
        <v>34</v>
      </c>
      <c r="D144" s="86" t="s">
        <v>13</v>
      </c>
      <c r="E144" s="86" t="s">
        <v>18</v>
      </c>
      <c r="F144" s="86">
        <v>48</v>
      </c>
      <c r="G144" s="86">
        <v>53.28</v>
      </c>
      <c r="H144" s="86" t="s">
        <v>319</v>
      </c>
    </row>
    <row r="145" spans="1:8" x14ac:dyDescent="0.45">
      <c r="A145" s="86" t="s">
        <v>48</v>
      </c>
      <c r="B145" s="86" t="s">
        <v>46</v>
      </c>
      <c r="C145" s="86" t="s">
        <v>12</v>
      </c>
      <c r="D145" s="86" t="s">
        <v>20</v>
      </c>
      <c r="E145" s="86" t="s">
        <v>25</v>
      </c>
      <c r="F145" s="86">
        <v>15.8</v>
      </c>
      <c r="G145" s="86">
        <v>17.600000000000001</v>
      </c>
      <c r="H145" s="86" t="s">
        <v>26</v>
      </c>
    </row>
    <row r="146" spans="1:8" x14ac:dyDescent="0.45">
      <c r="A146" s="86" t="s">
        <v>48</v>
      </c>
      <c r="B146" s="86" t="s">
        <v>46</v>
      </c>
      <c r="C146" s="86" t="s">
        <v>12</v>
      </c>
      <c r="D146" s="86" t="s">
        <v>13</v>
      </c>
      <c r="E146" s="86" t="s">
        <v>16</v>
      </c>
      <c r="F146" s="86">
        <v>53.9</v>
      </c>
      <c r="G146" s="86">
        <v>47.43</v>
      </c>
      <c r="H146" s="86" t="s">
        <v>494</v>
      </c>
    </row>
    <row r="147" spans="1:8" x14ac:dyDescent="0.45">
      <c r="A147" s="86" t="s">
        <v>48</v>
      </c>
      <c r="B147" s="86" t="s">
        <v>46</v>
      </c>
      <c r="C147" s="86" t="s">
        <v>12</v>
      </c>
      <c r="D147" s="86" t="s">
        <v>20</v>
      </c>
      <c r="E147" s="86" t="s">
        <v>27</v>
      </c>
      <c r="F147" s="86">
        <v>11.55</v>
      </c>
      <c r="G147" s="86">
        <v>11.9</v>
      </c>
      <c r="H147" s="86" t="s">
        <v>28</v>
      </c>
    </row>
    <row r="148" spans="1:8" x14ac:dyDescent="0.45">
      <c r="A148" s="86" t="s">
        <v>48</v>
      </c>
      <c r="B148" s="86" t="s">
        <v>46</v>
      </c>
      <c r="C148" s="86" t="s">
        <v>12</v>
      </c>
      <c r="D148" s="86" t="s">
        <v>20</v>
      </c>
      <c r="E148" s="86" t="s">
        <v>29</v>
      </c>
      <c r="F148" s="86">
        <v>7.7</v>
      </c>
      <c r="G148" s="86">
        <v>7.78</v>
      </c>
      <c r="H148" s="86" t="s">
        <v>258</v>
      </c>
    </row>
    <row r="149" spans="1:8" x14ac:dyDescent="0.45">
      <c r="A149" s="86" t="s">
        <v>48</v>
      </c>
      <c r="B149" s="86" t="s">
        <v>46</v>
      </c>
      <c r="C149" s="86" t="s">
        <v>12</v>
      </c>
      <c r="D149" s="86" t="s">
        <v>13</v>
      </c>
      <c r="E149" s="86" t="s">
        <v>14</v>
      </c>
      <c r="F149" s="86">
        <v>96.6</v>
      </c>
      <c r="G149" s="86">
        <v>100.46</v>
      </c>
      <c r="H149" s="86" t="s">
        <v>204</v>
      </c>
    </row>
    <row r="150" spans="1:8" x14ac:dyDescent="0.45">
      <c r="A150" s="86" t="s">
        <v>48</v>
      </c>
      <c r="B150" s="86" t="s">
        <v>46</v>
      </c>
      <c r="C150" s="86" t="s">
        <v>12</v>
      </c>
      <c r="D150" s="86" t="s">
        <v>13</v>
      </c>
      <c r="E150" s="86" t="s">
        <v>18</v>
      </c>
      <c r="F150" s="86">
        <v>42</v>
      </c>
      <c r="G150" s="86">
        <v>46.2</v>
      </c>
      <c r="H150" s="86" t="s">
        <v>19</v>
      </c>
    </row>
    <row r="151" spans="1:8" x14ac:dyDescent="0.45">
      <c r="A151" s="86" t="s">
        <v>48</v>
      </c>
      <c r="B151" s="86" t="s">
        <v>46</v>
      </c>
      <c r="C151" s="86" t="s">
        <v>12</v>
      </c>
      <c r="D151" s="86" t="s">
        <v>20</v>
      </c>
      <c r="E151" s="86" t="s">
        <v>23</v>
      </c>
      <c r="F151" s="86">
        <v>19.25</v>
      </c>
      <c r="G151" s="86">
        <v>19.64</v>
      </c>
      <c r="H151" s="86" t="s">
        <v>24</v>
      </c>
    </row>
    <row r="152" spans="1:8" x14ac:dyDescent="0.45">
      <c r="A152" s="86" t="s">
        <v>48</v>
      </c>
      <c r="B152" s="86" t="s">
        <v>46</v>
      </c>
      <c r="C152" s="86" t="s">
        <v>12</v>
      </c>
      <c r="D152" s="86" t="s">
        <v>20</v>
      </c>
      <c r="E152" s="86" t="s">
        <v>21</v>
      </c>
      <c r="F152" s="86">
        <v>84.7</v>
      </c>
      <c r="H152" s="86" t="s">
        <v>22</v>
      </c>
    </row>
    <row r="153" spans="1:8" x14ac:dyDescent="0.45">
      <c r="A153" s="86" t="s">
        <v>57</v>
      </c>
      <c r="B153" s="86" t="s">
        <v>46</v>
      </c>
      <c r="C153" s="86" t="s">
        <v>42</v>
      </c>
      <c r="D153" s="86" t="s">
        <v>20</v>
      </c>
      <c r="E153" s="86" t="s">
        <v>21</v>
      </c>
      <c r="F153" s="86">
        <v>93.17</v>
      </c>
      <c r="G153" s="86">
        <v>84.7</v>
      </c>
      <c r="H153" s="86" t="s">
        <v>22</v>
      </c>
    </row>
    <row r="154" spans="1:8" x14ac:dyDescent="0.45">
      <c r="A154" s="86" t="s">
        <v>57</v>
      </c>
      <c r="B154" s="86" t="s">
        <v>46</v>
      </c>
      <c r="C154" s="86" t="s">
        <v>42</v>
      </c>
      <c r="D154" s="86" t="s">
        <v>20</v>
      </c>
      <c r="E154" s="86" t="s">
        <v>23</v>
      </c>
      <c r="F154" s="86">
        <v>19.25</v>
      </c>
      <c r="G154" s="86">
        <v>19.829999999999998</v>
      </c>
      <c r="H154" s="86" t="s">
        <v>24</v>
      </c>
    </row>
    <row r="155" spans="1:8" x14ac:dyDescent="0.45">
      <c r="A155" s="86" t="s">
        <v>57</v>
      </c>
      <c r="B155" s="86" t="s">
        <v>46</v>
      </c>
      <c r="C155" s="86" t="s">
        <v>42</v>
      </c>
      <c r="D155" s="86" t="s">
        <v>13</v>
      </c>
      <c r="E155" s="86" t="s">
        <v>14</v>
      </c>
      <c r="F155" s="86">
        <v>96.6</v>
      </c>
      <c r="G155" s="86">
        <v>102.4</v>
      </c>
      <c r="H155" s="86" t="s">
        <v>15</v>
      </c>
    </row>
    <row r="156" spans="1:8" x14ac:dyDescent="0.45">
      <c r="A156" s="86" t="s">
        <v>57</v>
      </c>
      <c r="B156" s="86" t="s">
        <v>46</v>
      </c>
      <c r="C156" s="86" t="s">
        <v>42</v>
      </c>
      <c r="D156" s="86" t="s">
        <v>20</v>
      </c>
      <c r="E156" s="86" t="s">
        <v>27</v>
      </c>
      <c r="F156" s="86">
        <v>11.55</v>
      </c>
      <c r="G156" s="86">
        <v>12.24</v>
      </c>
      <c r="H156" s="86" t="s">
        <v>239</v>
      </c>
    </row>
    <row r="157" spans="1:8" x14ac:dyDescent="0.45">
      <c r="A157" s="86" t="s">
        <v>57</v>
      </c>
      <c r="B157" s="86" t="s">
        <v>46</v>
      </c>
      <c r="C157" s="86" t="s">
        <v>42</v>
      </c>
      <c r="D157" s="86" t="s">
        <v>13</v>
      </c>
      <c r="E157" s="86" t="s">
        <v>18</v>
      </c>
      <c r="F157" s="86">
        <v>42</v>
      </c>
      <c r="G157" s="86">
        <v>47.88</v>
      </c>
      <c r="H157" s="86" t="s">
        <v>19</v>
      </c>
    </row>
    <row r="158" spans="1:8" x14ac:dyDescent="0.45">
      <c r="A158" s="86" t="s">
        <v>57</v>
      </c>
      <c r="B158" s="86" t="s">
        <v>46</v>
      </c>
      <c r="C158" s="86" t="s">
        <v>42</v>
      </c>
      <c r="D158" s="86" t="s">
        <v>20</v>
      </c>
      <c r="E158" s="86" t="s">
        <v>25</v>
      </c>
      <c r="F158" s="86">
        <v>15.75</v>
      </c>
      <c r="G158" s="86">
        <v>17.010000000000002</v>
      </c>
      <c r="H158" s="86" t="s">
        <v>263</v>
      </c>
    </row>
    <row r="159" spans="1:8" x14ac:dyDescent="0.45">
      <c r="A159" s="86" t="s">
        <v>57</v>
      </c>
      <c r="B159" s="86" t="s">
        <v>46</v>
      </c>
      <c r="C159" s="86" t="s">
        <v>42</v>
      </c>
      <c r="D159" s="86" t="s">
        <v>13</v>
      </c>
      <c r="E159" s="86" t="s">
        <v>16</v>
      </c>
      <c r="F159" s="86">
        <v>53.9</v>
      </c>
      <c r="G159" s="86">
        <v>44.2</v>
      </c>
      <c r="H159" s="86" t="s">
        <v>208</v>
      </c>
    </row>
    <row r="160" spans="1:8" x14ac:dyDescent="0.45">
      <c r="A160" s="86" t="s">
        <v>57</v>
      </c>
      <c r="B160" s="86" t="s">
        <v>46</v>
      </c>
      <c r="C160" s="86" t="s">
        <v>42</v>
      </c>
      <c r="D160" s="86" t="s">
        <v>20</v>
      </c>
      <c r="E160" s="86" t="s">
        <v>29</v>
      </c>
      <c r="F160" s="86">
        <v>7.7</v>
      </c>
      <c r="G160" s="86">
        <v>7.85</v>
      </c>
      <c r="H160" s="86" t="s">
        <v>163</v>
      </c>
    </row>
    <row r="161" spans="1:8" x14ac:dyDescent="0.45">
      <c r="A161" s="86" t="s">
        <v>47</v>
      </c>
      <c r="B161" s="86" t="s">
        <v>46</v>
      </c>
      <c r="C161" s="86" t="s">
        <v>12</v>
      </c>
      <c r="D161" s="86" t="s">
        <v>20</v>
      </c>
      <c r="E161" s="86" t="s">
        <v>27</v>
      </c>
      <c r="F161" s="86">
        <v>11.6</v>
      </c>
      <c r="G161" s="86">
        <v>12.01</v>
      </c>
      <c r="H161" s="86" t="s">
        <v>28</v>
      </c>
    </row>
    <row r="162" spans="1:8" x14ac:dyDescent="0.45">
      <c r="A162" s="86" t="s">
        <v>47</v>
      </c>
      <c r="B162" s="86" t="s">
        <v>46</v>
      </c>
      <c r="C162" s="86" t="s">
        <v>12</v>
      </c>
      <c r="D162" s="86" t="s">
        <v>13</v>
      </c>
      <c r="E162" s="86" t="s">
        <v>14</v>
      </c>
      <c r="F162" s="86">
        <v>96.6</v>
      </c>
      <c r="G162" s="86">
        <v>98.53</v>
      </c>
      <c r="H162" s="86" t="s">
        <v>15</v>
      </c>
    </row>
    <row r="163" spans="1:8" x14ac:dyDescent="0.45">
      <c r="A163" s="86" t="s">
        <v>47</v>
      </c>
      <c r="B163" s="86" t="s">
        <v>46</v>
      </c>
      <c r="C163" s="86" t="s">
        <v>12</v>
      </c>
      <c r="D163" s="86" t="s">
        <v>13</v>
      </c>
      <c r="E163" s="86" t="s">
        <v>18</v>
      </c>
      <c r="F163" s="86">
        <v>42</v>
      </c>
      <c r="G163" s="86">
        <v>45.78</v>
      </c>
      <c r="H163" s="86" t="s">
        <v>19</v>
      </c>
    </row>
    <row r="164" spans="1:8" x14ac:dyDescent="0.45">
      <c r="A164" s="86" t="s">
        <v>47</v>
      </c>
      <c r="B164" s="86" t="s">
        <v>46</v>
      </c>
      <c r="C164" s="86" t="s">
        <v>12</v>
      </c>
      <c r="D164" s="86" t="s">
        <v>13</v>
      </c>
      <c r="E164" s="86" t="s">
        <v>16</v>
      </c>
      <c r="F164" s="86">
        <v>53.9</v>
      </c>
      <c r="G164" s="86">
        <v>47.97</v>
      </c>
      <c r="H164" s="86" t="s">
        <v>17</v>
      </c>
    </row>
    <row r="165" spans="1:8" x14ac:dyDescent="0.45">
      <c r="A165" s="86" t="s">
        <v>47</v>
      </c>
      <c r="B165" s="86" t="s">
        <v>46</v>
      </c>
      <c r="C165" s="86" t="s">
        <v>12</v>
      </c>
      <c r="D165" s="86" t="s">
        <v>20</v>
      </c>
      <c r="E165" s="86" t="s">
        <v>23</v>
      </c>
      <c r="F165" s="86">
        <v>19.25</v>
      </c>
      <c r="G165" s="86">
        <v>19.059999999999999</v>
      </c>
      <c r="H165" s="86" t="s">
        <v>211</v>
      </c>
    </row>
    <row r="166" spans="1:8" x14ac:dyDescent="0.45">
      <c r="A166" s="86" t="s">
        <v>47</v>
      </c>
      <c r="B166" s="86" t="s">
        <v>46</v>
      </c>
      <c r="C166" s="86" t="s">
        <v>12</v>
      </c>
      <c r="D166" s="86" t="s">
        <v>20</v>
      </c>
      <c r="E166" s="86" t="s">
        <v>25</v>
      </c>
      <c r="F166" s="86">
        <v>15.75</v>
      </c>
      <c r="G166" s="86">
        <v>17.329999999999998</v>
      </c>
      <c r="H166" s="86" t="s">
        <v>26</v>
      </c>
    </row>
    <row r="167" spans="1:8" x14ac:dyDescent="0.45">
      <c r="A167" s="86" t="s">
        <v>47</v>
      </c>
      <c r="B167" s="86" t="s">
        <v>46</v>
      </c>
      <c r="C167" s="86" t="s">
        <v>12</v>
      </c>
      <c r="D167" s="86" t="s">
        <v>20</v>
      </c>
      <c r="E167" s="86" t="s">
        <v>21</v>
      </c>
      <c r="F167" s="86">
        <v>84.7</v>
      </c>
      <c r="G167" s="86">
        <v>89.78</v>
      </c>
      <c r="H167" s="86" t="s">
        <v>222</v>
      </c>
    </row>
    <row r="168" spans="1:8" x14ac:dyDescent="0.45">
      <c r="A168" s="86" t="s">
        <v>47</v>
      </c>
      <c r="B168" s="86" t="s">
        <v>46</v>
      </c>
      <c r="C168" s="86" t="s">
        <v>12</v>
      </c>
      <c r="D168" s="86" t="s">
        <v>20</v>
      </c>
      <c r="E168" s="86" t="s">
        <v>29</v>
      </c>
      <c r="G168" s="86">
        <v>7.7</v>
      </c>
      <c r="H168" s="86" t="s">
        <v>30</v>
      </c>
    </row>
    <row r="169" spans="1:8" x14ac:dyDescent="0.45">
      <c r="A169" s="86" t="s">
        <v>53</v>
      </c>
      <c r="B169" s="86" t="s">
        <v>46</v>
      </c>
      <c r="C169" s="86" t="s">
        <v>38</v>
      </c>
      <c r="D169" s="86" t="s">
        <v>20</v>
      </c>
      <c r="E169" s="86" t="s">
        <v>23</v>
      </c>
      <c r="F169" s="86">
        <v>30.25</v>
      </c>
      <c r="G169" s="86">
        <v>30.86</v>
      </c>
      <c r="H169" s="86" t="s">
        <v>24</v>
      </c>
    </row>
    <row r="170" spans="1:8" x14ac:dyDescent="0.45">
      <c r="A170" s="86" t="s">
        <v>53</v>
      </c>
      <c r="B170" s="86" t="s">
        <v>46</v>
      </c>
      <c r="C170" s="86" t="s">
        <v>38</v>
      </c>
      <c r="D170" s="86" t="s">
        <v>20</v>
      </c>
      <c r="E170" s="86" t="s">
        <v>25</v>
      </c>
      <c r="F170" s="86">
        <v>24.75</v>
      </c>
      <c r="G170" s="86">
        <v>27.72</v>
      </c>
      <c r="H170" s="86" t="s">
        <v>26</v>
      </c>
    </row>
    <row r="171" spans="1:8" x14ac:dyDescent="0.45">
      <c r="A171" s="86" t="s">
        <v>53</v>
      </c>
      <c r="B171" s="86" t="s">
        <v>46</v>
      </c>
      <c r="C171" s="86" t="s">
        <v>38</v>
      </c>
      <c r="D171" s="86" t="s">
        <v>13</v>
      </c>
      <c r="E171" s="86" t="s">
        <v>18</v>
      </c>
      <c r="F171" s="86">
        <v>66</v>
      </c>
      <c r="G171" s="86">
        <v>73.92</v>
      </c>
      <c r="H171" s="86" t="s">
        <v>19</v>
      </c>
    </row>
    <row r="172" spans="1:8" x14ac:dyDescent="0.45">
      <c r="A172" s="86" t="s">
        <v>53</v>
      </c>
      <c r="B172" s="86" t="s">
        <v>46</v>
      </c>
      <c r="C172" s="86" t="s">
        <v>38</v>
      </c>
      <c r="D172" s="86" t="s">
        <v>13</v>
      </c>
      <c r="E172" s="86" t="s">
        <v>16</v>
      </c>
      <c r="F172" s="86">
        <v>84.7</v>
      </c>
      <c r="G172" s="86">
        <v>73.69</v>
      </c>
      <c r="H172" s="86" t="s">
        <v>17</v>
      </c>
    </row>
    <row r="173" spans="1:8" x14ac:dyDescent="0.45">
      <c r="A173" s="86" t="s">
        <v>53</v>
      </c>
      <c r="B173" s="86" t="s">
        <v>46</v>
      </c>
      <c r="C173" s="86" t="s">
        <v>38</v>
      </c>
      <c r="D173" s="86" t="s">
        <v>20</v>
      </c>
      <c r="E173" s="86" t="s">
        <v>21</v>
      </c>
      <c r="F173" s="86">
        <v>133.1</v>
      </c>
      <c r="G173" s="86">
        <v>145.08000000000001</v>
      </c>
      <c r="H173" s="86" t="s">
        <v>286</v>
      </c>
    </row>
    <row r="174" spans="1:8" x14ac:dyDescent="0.45">
      <c r="A174" s="86" t="s">
        <v>53</v>
      </c>
      <c r="B174" s="86" t="s">
        <v>46</v>
      </c>
      <c r="C174" s="86" t="s">
        <v>38</v>
      </c>
      <c r="D174" s="86" t="s">
        <v>13</v>
      </c>
      <c r="E174" s="86" t="s">
        <v>14</v>
      </c>
      <c r="F174" s="86">
        <v>151.80000000000001</v>
      </c>
      <c r="G174" s="86">
        <v>160.91</v>
      </c>
      <c r="H174" s="86" t="s">
        <v>15</v>
      </c>
    </row>
    <row r="175" spans="1:8" x14ac:dyDescent="0.45">
      <c r="A175" s="86" t="s">
        <v>53</v>
      </c>
      <c r="B175" s="86" t="s">
        <v>46</v>
      </c>
      <c r="C175" s="86" t="s">
        <v>38</v>
      </c>
      <c r="D175" s="86" t="s">
        <v>20</v>
      </c>
      <c r="E175" s="86" t="s">
        <v>29</v>
      </c>
      <c r="F175" s="86">
        <v>12.1</v>
      </c>
      <c r="G175" s="86">
        <v>12.34</v>
      </c>
      <c r="H175" s="86" t="s">
        <v>30</v>
      </c>
    </row>
    <row r="176" spans="1:8" x14ac:dyDescent="0.45">
      <c r="A176" s="86" t="s">
        <v>53</v>
      </c>
      <c r="B176" s="86" t="s">
        <v>46</v>
      </c>
      <c r="C176" s="86" t="s">
        <v>38</v>
      </c>
      <c r="D176" s="86" t="s">
        <v>20</v>
      </c>
      <c r="E176" s="86" t="s">
        <v>27</v>
      </c>
      <c r="F176" s="86">
        <v>18.149999999999999</v>
      </c>
      <c r="G176" s="86">
        <v>19.239999999999998</v>
      </c>
      <c r="H176" s="86" t="s">
        <v>28</v>
      </c>
    </row>
    <row r="177" spans="1:8" x14ac:dyDescent="0.45">
      <c r="A177" s="86" t="s">
        <v>52</v>
      </c>
      <c r="B177" s="86" t="s">
        <v>46</v>
      </c>
      <c r="C177" s="86" t="s">
        <v>38</v>
      </c>
      <c r="D177" s="86" t="s">
        <v>20</v>
      </c>
      <c r="E177" s="86" t="s">
        <v>29</v>
      </c>
      <c r="F177" s="86">
        <v>11</v>
      </c>
      <c r="G177" s="86">
        <v>11.11</v>
      </c>
      <c r="H177" s="86" t="s">
        <v>30</v>
      </c>
    </row>
    <row r="178" spans="1:8" x14ac:dyDescent="0.45">
      <c r="A178" s="86" t="s">
        <v>52</v>
      </c>
      <c r="B178" s="86" t="s">
        <v>46</v>
      </c>
      <c r="C178" s="86" t="s">
        <v>38</v>
      </c>
      <c r="D178" s="86" t="s">
        <v>20</v>
      </c>
      <c r="E178" s="86" t="s">
        <v>27</v>
      </c>
      <c r="F178" s="86">
        <v>16.5</v>
      </c>
      <c r="G178" s="86">
        <v>17.32</v>
      </c>
      <c r="H178" s="86" t="s">
        <v>28</v>
      </c>
    </row>
    <row r="179" spans="1:8" x14ac:dyDescent="0.45">
      <c r="A179" s="86" t="s">
        <v>52</v>
      </c>
      <c r="B179" s="86" t="s">
        <v>46</v>
      </c>
      <c r="C179" s="86" t="s">
        <v>38</v>
      </c>
      <c r="D179" s="86" t="s">
        <v>13</v>
      </c>
      <c r="E179" s="86" t="s">
        <v>14</v>
      </c>
      <c r="F179" s="86">
        <v>138</v>
      </c>
      <c r="G179" s="86">
        <v>144.9</v>
      </c>
      <c r="H179" s="86" t="s">
        <v>15</v>
      </c>
    </row>
    <row r="180" spans="1:8" x14ac:dyDescent="0.45">
      <c r="A180" s="86" t="s">
        <v>52</v>
      </c>
      <c r="B180" s="86" t="s">
        <v>46</v>
      </c>
      <c r="C180" s="86" t="s">
        <v>38</v>
      </c>
      <c r="D180" s="86" t="s">
        <v>13</v>
      </c>
      <c r="E180" s="86" t="s">
        <v>18</v>
      </c>
      <c r="F180" s="86">
        <v>60</v>
      </c>
      <c r="G180" s="86">
        <v>67.8</v>
      </c>
      <c r="H180" s="86" t="s">
        <v>19</v>
      </c>
    </row>
    <row r="181" spans="1:8" x14ac:dyDescent="0.45">
      <c r="A181" s="86" t="s">
        <v>52</v>
      </c>
      <c r="B181" s="86" t="s">
        <v>46</v>
      </c>
      <c r="C181" s="86" t="s">
        <v>38</v>
      </c>
      <c r="D181" s="86" t="s">
        <v>20</v>
      </c>
      <c r="E181" s="86" t="s">
        <v>23</v>
      </c>
      <c r="F181" s="86">
        <v>27.5</v>
      </c>
      <c r="G181" s="86">
        <v>28.32</v>
      </c>
      <c r="H181" s="86" t="s">
        <v>24</v>
      </c>
    </row>
    <row r="182" spans="1:8" x14ac:dyDescent="0.45">
      <c r="A182" s="86" t="s">
        <v>52</v>
      </c>
      <c r="B182" s="86" t="s">
        <v>46</v>
      </c>
      <c r="C182" s="86" t="s">
        <v>38</v>
      </c>
      <c r="D182" s="86" t="s">
        <v>20</v>
      </c>
      <c r="E182" s="86" t="s">
        <v>25</v>
      </c>
      <c r="F182" s="86">
        <v>22.5</v>
      </c>
      <c r="G182" s="86">
        <v>24.75</v>
      </c>
      <c r="H182" s="86" t="s">
        <v>26</v>
      </c>
    </row>
    <row r="183" spans="1:8" x14ac:dyDescent="0.45">
      <c r="A183" s="86" t="s">
        <v>52</v>
      </c>
      <c r="B183" s="86" t="s">
        <v>46</v>
      </c>
      <c r="C183" s="86" t="s">
        <v>38</v>
      </c>
      <c r="D183" s="86" t="s">
        <v>20</v>
      </c>
      <c r="E183" s="86" t="s">
        <v>21</v>
      </c>
      <c r="F183" s="86">
        <v>121</v>
      </c>
      <c r="G183" s="86">
        <v>129.47</v>
      </c>
      <c r="H183" s="86" t="s">
        <v>286</v>
      </c>
    </row>
    <row r="184" spans="1:8" x14ac:dyDescent="0.45">
      <c r="A184" s="86" t="s">
        <v>52</v>
      </c>
      <c r="B184" s="86" t="s">
        <v>46</v>
      </c>
      <c r="C184" s="86" t="s">
        <v>38</v>
      </c>
      <c r="D184" s="86" t="s">
        <v>13</v>
      </c>
      <c r="E184" s="86" t="s">
        <v>16</v>
      </c>
      <c r="H184" s="86" t="s">
        <v>367</v>
      </c>
    </row>
    <row r="185" spans="1:8" x14ac:dyDescent="0.45">
      <c r="A185" s="86" t="s">
        <v>51</v>
      </c>
      <c r="B185" s="86" t="s">
        <v>46</v>
      </c>
      <c r="C185" s="86" t="s">
        <v>34</v>
      </c>
      <c r="D185" s="86" t="s">
        <v>20</v>
      </c>
      <c r="E185" s="86" t="s">
        <v>29</v>
      </c>
      <c r="F185" s="86">
        <v>8.8000000000000007</v>
      </c>
      <c r="G185" s="86">
        <v>8.8000000000000007</v>
      </c>
      <c r="H185" s="86" t="s">
        <v>30</v>
      </c>
    </row>
    <row r="186" spans="1:8" x14ac:dyDescent="0.45">
      <c r="A186" s="86" t="s">
        <v>51</v>
      </c>
      <c r="B186" s="86" t="s">
        <v>46</v>
      </c>
      <c r="C186" s="86" t="s">
        <v>34</v>
      </c>
      <c r="D186" s="86" t="s">
        <v>20</v>
      </c>
      <c r="E186" s="86" t="s">
        <v>25</v>
      </c>
      <c r="F186" s="86">
        <v>18</v>
      </c>
      <c r="G186" s="86">
        <v>20.34</v>
      </c>
      <c r="H186" s="86" t="s">
        <v>26</v>
      </c>
    </row>
    <row r="187" spans="1:8" x14ac:dyDescent="0.45">
      <c r="A187" s="86" t="s">
        <v>51</v>
      </c>
      <c r="B187" s="86" t="s">
        <v>46</v>
      </c>
      <c r="C187" s="86" t="s">
        <v>34</v>
      </c>
      <c r="D187" s="86" t="s">
        <v>13</v>
      </c>
      <c r="E187" s="86" t="s">
        <v>18</v>
      </c>
      <c r="F187" s="86">
        <v>48</v>
      </c>
      <c r="G187" s="86">
        <v>53.76</v>
      </c>
      <c r="H187" s="86" t="s">
        <v>244</v>
      </c>
    </row>
    <row r="188" spans="1:8" x14ac:dyDescent="0.45">
      <c r="A188" s="86" t="s">
        <v>51</v>
      </c>
      <c r="B188" s="86" t="s">
        <v>46</v>
      </c>
      <c r="C188" s="86" t="s">
        <v>34</v>
      </c>
      <c r="D188" s="86" t="s">
        <v>20</v>
      </c>
      <c r="E188" s="86" t="s">
        <v>27</v>
      </c>
      <c r="F188" s="86">
        <v>13.2</v>
      </c>
      <c r="G188" s="86">
        <v>13.73</v>
      </c>
      <c r="H188" s="86" t="s">
        <v>28</v>
      </c>
    </row>
    <row r="189" spans="1:8" x14ac:dyDescent="0.45">
      <c r="A189" s="86" t="s">
        <v>51</v>
      </c>
      <c r="B189" s="86" t="s">
        <v>46</v>
      </c>
      <c r="C189" s="86" t="s">
        <v>34</v>
      </c>
      <c r="D189" s="86" t="s">
        <v>13</v>
      </c>
      <c r="E189" s="86" t="s">
        <v>16</v>
      </c>
      <c r="F189" s="86">
        <v>61.6</v>
      </c>
      <c r="G189" s="86">
        <v>54.21</v>
      </c>
      <c r="H189" s="86" t="s">
        <v>17</v>
      </c>
    </row>
    <row r="190" spans="1:8" x14ac:dyDescent="0.45">
      <c r="A190" s="86" t="s">
        <v>51</v>
      </c>
      <c r="B190" s="86" t="s">
        <v>46</v>
      </c>
      <c r="C190" s="86" t="s">
        <v>34</v>
      </c>
      <c r="D190" s="86" t="s">
        <v>20</v>
      </c>
      <c r="E190" s="86" t="s">
        <v>21</v>
      </c>
      <c r="F190" s="86">
        <v>96.8</v>
      </c>
      <c r="G190" s="86">
        <v>104.54</v>
      </c>
      <c r="H190" s="86" t="s">
        <v>286</v>
      </c>
    </row>
    <row r="191" spans="1:8" x14ac:dyDescent="0.45">
      <c r="A191" s="86" t="s">
        <v>51</v>
      </c>
      <c r="B191" s="86" t="s">
        <v>46</v>
      </c>
      <c r="C191" s="86" t="s">
        <v>34</v>
      </c>
      <c r="D191" s="86" t="s">
        <v>20</v>
      </c>
      <c r="E191" s="86" t="s">
        <v>23</v>
      </c>
      <c r="F191" s="86">
        <v>22</v>
      </c>
      <c r="G191" s="86">
        <v>22.44</v>
      </c>
      <c r="H191" s="86" t="s">
        <v>24</v>
      </c>
    </row>
    <row r="192" spans="1:8" x14ac:dyDescent="0.45">
      <c r="A192" s="86" t="s">
        <v>51</v>
      </c>
      <c r="B192" s="86" t="s">
        <v>46</v>
      </c>
      <c r="C192" s="86" t="s">
        <v>34</v>
      </c>
      <c r="D192" s="86" t="s">
        <v>13</v>
      </c>
      <c r="E192" s="86" t="s">
        <v>14</v>
      </c>
      <c r="G192" s="86">
        <v>114.82</v>
      </c>
      <c r="H192" s="86" t="s">
        <v>359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5"/>
  <sheetViews>
    <sheetView zoomScaleNormal="100" workbookViewId="0">
      <pane ySplit="3" topLeftCell="A4" activePane="bottomLeft" state="frozen"/>
      <selection pane="bottomLeft" activeCell="L3" sqref="L3"/>
    </sheetView>
  </sheetViews>
  <sheetFormatPr defaultColWidth="8.6640625" defaultRowHeight="14.25" x14ac:dyDescent="0.45"/>
  <cols>
    <col min="1" max="1" width="10" customWidth="1"/>
    <col min="2" max="2" width="7" customWidth="1"/>
    <col min="3" max="3" width="9" customWidth="1"/>
    <col min="4" max="4" width="10" customWidth="1"/>
    <col min="5" max="5" width="16" customWidth="1"/>
    <col min="6" max="6" width="16.53125" bestFit="1" customWidth="1"/>
    <col min="7" max="7" width="14.1328125" bestFit="1" customWidth="1"/>
    <col min="8" max="8" width="18" customWidth="1"/>
    <col min="9" max="10" width="12" customWidth="1"/>
    <col min="11" max="11" width="27.796875" bestFit="1" customWidth="1"/>
  </cols>
  <sheetData>
    <row r="1" spans="1:11" ht="24" customHeight="1" x14ac:dyDescent="0.45">
      <c r="A1" s="77" t="s">
        <v>58</v>
      </c>
      <c r="B1" s="77"/>
      <c r="C1" s="77"/>
      <c r="D1" s="77"/>
      <c r="E1" s="77"/>
      <c r="F1" s="77"/>
      <c r="G1" s="77"/>
      <c r="H1" s="77"/>
      <c r="I1" s="77"/>
      <c r="J1" s="77"/>
      <c r="K1" s="77"/>
    </row>
    <row r="2" spans="1:11" ht="15" customHeight="1" x14ac:dyDescent="0.45">
      <c r="A2" s="78" t="s">
        <v>59</v>
      </c>
      <c r="B2" s="78"/>
      <c r="C2" s="78"/>
      <c r="D2" s="78"/>
      <c r="E2" s="78"/>
      <c r="F2" s="78"/>
      <c r="G2" s="78"/>
      <c r="H2" s="78"/>
      <c r="I2" s="78"/>
      <c r="J2" s="78"/>
      <c r="K2" s="78"/>
    </row>
    <row r="3" spans="1:11" ht="18" customHeight="1" x14ac:dyDescent="0.4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96" t="s">
        <v>496</v>
      </c>
      <c r="G3" s="96" t="s">
        <v>497</v>
      </c>
      <c r="H3" s="5" t="s">
        <v>60</v>
      </c>
      <c r="I3" s="5" t="s">
        <v>61</v>
      </c>
      <c r="J3" s="5" t="s">
        <v>62</v>
      </c>
      <c r="K3" s="6" t="s">
        <v>63</v>
      </c>
    </row>
    <row r="4" spans="1:11" ht="15" customHeight="1" x14ac:dyDescent="0.45">
      <c r="A4" s="13" t="str">
        <f>Raw_Export_Clean!A4</f>
        <v>Apr-22</v>
      </c>
      <c r="B4" s="13" t="str">
        <f>Raw_Export_Clean!B4</f>
        <v>FY23</v>
      </c>
      <c r="C4" s="13" t="str">
        <f>Raw_Export_Clean!C4</f>
        <v>Q1</v>
      </c>
      <c r="D4" s="13" t="str">
        <f>Raw_Export_Clean!D4</f>
        <v>Revenue</v>
      </c>
      <c r="E4" s="13" t="str">
        <f>Raw_Export_Clean!E4</f>
        <v>Product A</v>
      </c>
      <c r="F4" s="14">
        <f>Raw_Export_Clean!F4</f>
        <v>87.5</v>
      </c>
      <c r="G4" s="14">
        <f>Raw_Export_Clean!G4</f>
        <v>89.25</v>
      </c>
      <c r="H4" s="14">
        <f t="shared" ref="H4:H35" si="0">G4-F4</f>
        <v>1.75</v>
      </c>
      <c r="I4" s="15">
        <f t="shared" ref="I4:I35" si="1">IF(F4&lt;&gt;0,(G4-F4)/F4,0)</f>
        <v>0.02</v>
      </c>
      <c r="J4" s="16" t="str">
        <f t="shared" ref="J4:J35" si="2">IF(D4="Revenue",IF(I4&gt;=0.02,"GREEN",IF(I4&gt;=-0.05,"AMBER","RED")),IF(I4&lt;=-0.02,"GREEN",IF(I4&lt;=0.05,"AMBER","RED")))</f>
        <v>GREEN</v>
      </c>
      <c r="K4" s="14">
        <f>SUMPRODUCT((B$4:B4=B4)*(E$4:E4=E4)*H$4:H4)</f>
        <v>1.75</v>
      </c>
    </row>
    <row r="5" spans="1:11" ht="15" customHeight="1" x14ac:dyDescent="0.45">
      <c r="A5" s="17" t="str">
        <f>Raw_Export_Clean!A5</f>
        <v>Apr-22</v>
      </c>
      <c r="B5" s="17" t="str">
        <f>Raw_Export_Clean!B5</f>
        <v>FY23</v>
      </c>
      <c r="C5" s="17" t="str">
        <f>Raw_Export_Clean!C5</f>
        <v>Q1</v>
      </c>
      <c r="D5" s="17" t="str">
        <f>Raw_Export_Clean!D5</f>
        <v>Revenue</v>
      </c>
      <c r="E5" s="17" t="str">
        <f>Raw_Export_Clean!E5</f>
        <v>Product B</v>
      </c>
      <c r="F5" s="18">
        <f>Raw_Export_Clean!F5</f>
        <v>52.5</v>
      </c>
      <c r="G5" s="18">
        <f>Raw_Export_Clean!G5</f>
        <v>50.4</v>
      </c>
      <c r="H5" s="18">
        <f t="shared" si="0"/>
        <v>-2.1000000000000014</v>
      </c>
      <c r="I5" s="19">
        <f t="shared" si="1"/>
        <v>-4.0000000000000029E-2</v>
      </c>
      <c r="J5" s="20" t="str">
        <f t="shared" si="2"/>
        <v>AMBER</v>
      </c>
      <c r="K5" s="18">
        <f>SUMPRODUCT((B$4:B5=B5)*(E$4:E5=E5)*H$4:H5)</f>
        <v>-2.1000000000000014</v>
      </c>
    </row>
    <row r="6" spans="1:11" ht="15" customHeight="1" x14ac:dyDescent="0.45">
      <c r="A6" s="13" t="str">
        <f>Raw_Export_Clean!A6</f>
        <v>Apr-22</v>
      </c>
      <c r="B6" s="13" t="str">
        <f>Raw_Export_Clean!B6</f>
        <v>FY23</v>
      </c>
      <c r="C6" s="13" t="str">
        <f>Raw_Export_Clean!C6</f>
        <v>Q1</v>
      </c>
      <c r="D6" s="13" t="str">
        <f>Raw_Export_Clean!D6</f>
        <v>Revenue</v>
      </c>
      <c r="E6" s="13" t="str">
        <f>Raw_Export_Clean!E6</f>
        <v>Services</v>
      </c>
      <c r="F6" s="14">
        <f>Raw_Export_Clean!F6</f>
        <v>35</v>
      </c>
      <c r="G6" s="14">
        <f>Raw_Export_Clean!G6</f>
        <v>36.4</v>
      </c>
      <c r="H6" s="14">
        <f t="shared" si="0"/>
        <v>1.3999999999999986</v>
      </c>
      <c r="I6" s="15">
        <f t="shared" si="1"/>
        <v>3.9999999999999959E-2</v>
      </c>
      <c r="J6" s="16" t="str">
        <f t="shared" si="2"/>
        <v>GREEN</v>
      </c>
      <c r="K6" s="14">
        <f>SUMPRODUCT((B$4:B6=B6)*(E$4:E6=E6)*H$4:H6)</f>
        <v>1.3999999999999986</v>
      </c>
    </row>
    <row r="7" spans="1:11" ht="15" customHeight="1" x14ac:dyDescent="0.45">
      <c r="A7" s="17" t="str">
        <f>Raw_Export_Clean!A7</f>
        <v>Apr-22</v>
      </c>
      <c r="B7" s="17" t="str">
        <f>Raw_Export_Clean!B7</f>
        <v>FY23</v>
      </c>
      <c r="C7" s="17" t="str">
        <f>Raw_Export_Clean!C7</f>
        <v>Q1</v>
      </c>
      <c r="D7" s="17" t="str">
        <f>Raw_Export_Clean!D7</f>
        <v>Cost</v>
      </c>
      <c r="E7" s="17" t="str">
        <f>Raw_Export_Clean!E7</f>
        <v>Operations</v>
      </c>
      <c r="F7" s="18">
        <f>Raw_Export_Clean!F7</f>
        <v>78.75</v>
      </c>
      <c r="G7" s="18">
        <f>Raw_Export_Clean!G7</f>
        <v>80.33</v>
      </c>
      <c r="H7" s="18">
        <f t="shared" si="0"/>
        <v>1.5799999999999983</v>
      </c>
      <c r="I7" s="19">
        <f t="shared" si="1"/>
        <v>2.006349206349204E-2</v>
      </c>
      <c r="J7" s="20" t="str">
        <f t="shared" si="2"/>
        <v>AMBER</v>
      </c>
      <c r="K7" s="18">
        <f>SUMPRODUCT((B$4:B7=B7)*(E$4:E7=E7)*H$4:H7)</f>
        <v>1.5799999999999983</v>
      </c>
    </row>
    <row r="8" spans="1:11" ht="15" customHeight="1" x14ac:dyDescent="0.45">
      <c r="A8" s="13" t="str">
        <f>Raw_Export_Clean!A8</f>
        <v>Apr-22</v>
      </c>
      <c r="B8" s="13" t="str">
        <f>Raw_Export_Clean!B8</f>
        <v>FY23</v>
      </c>
      <c r="C8" s="13" t="str">
        <f>Raw_Export_Clean!C8</f>
        <v>Q1</v>
      </c>
      <c r="D8" s="13" t="str">
        <f>Raw_Export_Clean!D8</f>
        <v>Cost</v>
      </c>
      <c r="E8" s="13" t="str">
        <f>Raw_Export_Clean!E8</f>
        <v>Sales</v>
      </c>
      <c r="F8" s="14">
        <f>Raw_Export_Clean!F8</f>
        <v>17.5</v>
      </c>
      <c r="G8" s="14">
        <f>Raw_Export_Clean!G8</f>
        <v>17.68</v>
      </c>
      <c r="H8" s="14">
        <f t="shared" si="0"/>
        <v>0.17999999999999972</v>
      </c>
      <c r="I8" s="15">
        <f t="shared" si="1"/>
        <v>1.028571428571427E-2</v>
      </c>
      <c r="J8" s="20" t="str">
        <f t="shared" si="2"/>
        <v>AMBER</v>
      </c>
      <c r="K8" s="14">
        <f>SUMPRODUCT((B$4:B8=B8)*(E$4:E8=E8)*H$4:H8)</f>
        <v>0.17999999999999972</v>
      </c>
    </row>
    <row r="9" spans="1:11" ht="15" customHeight="1" x14ac:dyDescent="0.45">
      <c r="A9" s="17" t="str">
        <f>Raw_Export_Clean!A9</f>
        <v>Apr-22</v>
      </c>
      <c r="B9" s="17" t="str">
        <f>Raw_Export_Clean!B9</f>
        <v>FY23</v>
      </c>
      <c r="C9" s="17" t="str">
        <f>Raw_Export_Clean!C9</f>
        <v>Q1</v>
      </c>
      <c r="D9" s="17" t="str">
        <f>Raw_Export_Clean!D9</f>
        <v>Cost</v>
      </c>
      <c r="E9" s="17" t="str">
        <f>Raw_Export_Clean!E9</f>
        <v>Marketing</v>
      </c>
      <c r="F9" s="18">
        <f>Raw_Export_Clean!F9</f>
        <v>14</v>
      </c>
      <c r="G9" s="18">
        <f>Raw_Export_Clean!G9</f>
        <v>14.42</v>
      </c>
      <c r="H9" s="18">
        <f t="shared" si="0"/>
        <v>0.41999999999999993</v>
      </c>
      <c r="I9" s="19">
        <f t="shared" si="1"/>
        <v>2.9999999999999995E-2</v>
      </c>
      <c r="J9" s="20" t="str">
        <f t="shared" si="2"/>
        <v>AMBER</v>
      </c>
      <c r="K9" s="18">
        <f>SUMPRODUCT((B$4:B9=B9)*(E$4:E9=E9)*H$4:H9)</f>
        <v>0.41999999999999993</v>
      </c>
    </row>
    <row r="10" spans="1:11" ht="15" customHeight="1" x14ac:dyDescent="0.45">
      <c r="A10" s="13" t="str">
        <f>Raw_Export_Clean!A10</f>
        <v>Apr-22</v>
      </c>
      <c r="B10" s="13" t="str">
        <f>Raw_Export_Clean!B10</f>
        <v>FY23</v>
      </c>
      <c r="C10" s="13" t="str">
        <f>Raw_Export_Clean!C10</f>
        <v>Q1</v>
      </c>
      <c r="D10" s="13" t="str">
        <f>Raw_Export_Clean!D10</f>
        <v>Cost</v>
      </c>
      <c r="E10" s="13" t="str">
        <f>Raw_Export_Clean!E10</f>
        <v>HR</v>
      </c>
      <c r="F10" s="14">
        <f>Raw_Export_Clean!F10</f>
        <v>10.5</v>
      </c>
      <c r="G10" s="14">
        <f>Raw_Export_Clean!G10</f>
        <v>10.71</v>
      </c>
      <c r="H10" s="14">
        <f t="shared" si="0"/>
        <v>0.21000000000000085</v>
      </c>
      <c r="I10" s="15">
        <f t="shared" si="1"/>
        <v>2.000000000000008E-2</v>
      </c>
      <c r="J10" s="20" t="str">
        <f t="shared" si="2"/>
        <v>AMBER</v>
      </c>
      <c r="K10" s="14">
        <f>SUMPRODUCT((B$4:B10=B10)*(E$4:E10=E10)*H$4:H10)</f>
        <v>0.21000000000000085</v>
      </c>
    </row>
    <row r="11" spans="1:11" ht="15" customHeight="1" x14ac:dyDescent="0.45">
      <c r="A11" s="17" t="str">
        <f>Raw_Export_Clean!A11</f>
        <v>Apr-22</v>
      </c>
      <c r="B11" s="17" t="str">
        <f>Raw_Export_Clean!B11</f>
        <v>FY23</v>
      </c>
      <c r="C11" s="17" t="str">
        <f>Raw_Export_Clean!C11</f>
        <v>Q1</v>
      </c>
      <c r="D11" s="17" t="str">
        <f>Raw_Export_Clean!D11</f>
        <v>Cost</v>
      </c>
      <c r="E11" s="17" t="str">
        <f>Raw_Export_Clean!E11</f>
        <v>Finance &amp; Admin</v>
      </c>
      <c r="F11" s="18">
        <f>Raw_Export_Clean!F11</f>
        <v>7</v>
      </c>
      <c r="G11" s="18">
        <f>Raw_Export_Clean!G11</f>
        <v>7.07</v>
      </c>
      <c r="H11" s="18">
        <f t="shared" si="0"/>
        <v>7.0000000000000284E-2</v>
      </c>
      <c r="I11" s="19">
        <f t="shared" si="1"/>
        <v>1.000000000000004E-2</v>
      </c>
      <c r="J11" s="20" t="str">
        <f t="shared" si="2"/>
        <v>AMBER</v>
      </c>
      <c r="K11" s="18">
        <f>SUMPRODUCT((B$4:B11=B11)*(E$4:E11=E11)*H$4:H11)</f>
        <v>7.0000000000000284E-2</v>
      </c>
    </row>
    <row r="12" spans="1:11" ht="15" customHeight="1" x14ac:dyDescent="0.45">
      <c r="A12" s="13" t="str">
        <f>Raw_Export_Clean!A12</f>
        <v>May-22</v>
      </c>
      <c r="B12" s="13" t="str">
        <f>Raw_Export_Clean!B12</f>
        <v>FY23</v>
      </c>
      <c r="C12" s="13" t="str">
        <f>Raw_Export_Clean!C12</f>
        <v>Q1</v>
      </c>
      <c r="D12" s="13" t="str">
        <f>Raw_Export_Clean!D12</f>
        <v>Revenue</v>
      </c>
      <c r="E12" s="13" t="str">
        <f>Raw_Export_Clean!E12</f>
        <v>Product A</v>
      </c>
      <c r="F12" s="14">
        <f>Raw_Export_Clean!F12</f>
        <v>87.5</v>
      </c>
      <c r="G12" s="14">
        <f>Raw_Export_Clean!G12</f>
        <v>88.38</v>
      </c>
      <c r="H12" s="14">
        <f t="shared" si="0"/>
        <v>0.87999999999999545</v>
      </c>
      <c r="I12" s="15">
        <f t="shared" si="1"/>
        <v>1.0057142857142804E-2</v>
      </c>
      <c r="J12" s="20" t="str">
        <f t="shared" si="2"/>
        <v>AMBER</v>
      </c>
      <c r="K12" s="14">
        <f>SUMPRODUCT((B$4:B12=B12)*(E$4:E12=E12)*H$4:H12)</f>
        <v>2.6299999999999955</v>
      </c>
    </row>
    <row r="13" spans="1:11" ht="15" customHeight="1" x14ac:dyDescent="0.45">
      <c r="A13" s="17" t="str">
        <f>Raw_Export_Clean!A13</f>
        <v>May-22</v>
      </c>
      <c r="B13" s="17" t="str">
        <f>Raw_Export_Clean!B13</f>
        <v>FY23</v>
      </c>
      <c r="C13" s="17" t="str">
        <f>Raw_Export_Clean!C13</f>
        <v>Q1</v>
      </c>
      <c r="D13" s="17" t="str">
        <f>Raw_Export_Clean!D13</f>
        <v>Revenue</v>
      </c>
      <c r="E13" s="17" t="str">
        <f>Raw_Export_Clean!E13</f>
        <v>Product B</v>
      </c>
      <c r="F13" s="18">
        <f>Raw_Export_Clean!F13</f>
        <v>52.5</v>
      </c>
      <c r="G13" s="18">
        <f>Raw_Export_Clean!G13</f>
        <v>49.88</v>
      </c>
      <c r="H13" s="18">
        <f t="shared" si="0"/>
        <v>-2.6199999999999974</v>
      </c>
      <c r="I13" s="19">
        <f t="shared" si="1"/>
        <v>-4.9904761904761855E-2</v>
      </c>
      <c r="J13" s="20" t="str">
        <f t="shared" si="2"/>
        <v>AMBER</v>
      </c>
      <c r="K13" s="18">
        <f>SUMPRODUCT((B$4:B13=B13)*(E$4:E13=E13)*H$4:H13)</f>
        <v>-4.7199999999999989</v>
      </c>
    </row>
    <row r="14" spans="1:11" ht="15" customHeight="1" x14ac:dyDescent="0.45">
      <c r="A14" s="13" t="str">
        <f>Raw_Export_Clean!A14</f>
        <v>May-22</v>
      </c>
      <c r="B14" s="13" t="str">
        <f>Raw_Export_Clean!B14</f>
        <v>FY23</v>
      </c>
      <c r="C14" s="13" t="str">
        <f>Raw_Export_Clean!C14</f>
        <v>Q1</v>
      </c>
      <c r="D14" s="13" t="str">
        <f>Raw_Export_Clean!D14</f>
        <v>Revenue</v>
      </c>
      <c r="E14" s="13" t="str">
        <f>Raw_Export_Clean!E14</f>
        <v>Services</v>
      </c>
      <c r="F14" s="14">
        <f>Raw_Export_Clean!F14</f>
        <v>35</v>
      </c>
      <c r="G14" s="14">
        <f>Raw_Export_Clean!G14</f>
        <v>36.75</v>
      </c>
      <c r="H14" s="14">
        <f t="shared" si="0"/>
        <v>1.75</v>
      </c>
      <c r="I14" s="15">
        <f t="shared" si="1"/>
        <v>0.05</v>
      </c>
      <c r="J14" s="16" t="str">
        <f t="shared" si="2"/>
        <v>GREEN</v>
      </c>
      <c r="K14" s="14">
        <f>SUMPRODUCT((B$4:B14=B14)*(E$4:E14=E14)*H$4:H14)</f>
        <v>3.1499999999999986</v>
      </c>
    </row>
    <row r="15" spans="1:11" ht="15" customHeight="1" x14ac:dyDescent="0.45">
      <c r="A15" s="17" t="str">
        <f>Raw_Export_Clean!A15</f>
        <v>May-22</v>
      </c>
      <c r="B15" s="17" t="str">
        <f>Raw_Export_Clean!B15</f>
        <v>FY23</v>
      </c>
      <c r="C15" s="17" t="str">
        <f>Raw_Export_Clean!C15</f>
        <v>Q1</v>
      </c>
      <c r="D15" s="17" t="str">
        <f>Raw_Export_Clean!D15</f>
        <v>Cost</v>
      </c>
      <c r="E15" s="17" t="str">
        <f>Raw_Export_Clean!E15</f>
        <v>Operations</v>
      </c>
      <c r="F15" s="18">
        <f>Raw_Export_Clean!F15</f>
        <v>78.75</v>
      </c>
      <c r="G15" s="18">
        <f>Raw_Export_Clean!G15</f>
        <v>81.11</v>
      </c>
      <c r="H15" s="18">
        <f t="shared" si="0"/>
        <v>2.3599999999999994</v>
      </c>
      <c r="I15" s="19">
        <f t="shared" si="1"/>
        <v>2.996825396825396E-2</v>
      </c>
      <c r="J15" s="20" t="str">
        <f t="shared" si="2"/>
        <v>AMBER</v>
      </c>
      <c r="K15" s="18">
        <f>SUMPRODUCT((B$4:B15=B15)*(E$4:E15=E15)*H$4:H15)</f>
        <v>3.9399999999999977</v>
      </c>
    </row>
    <row r="16" spans="1:11" ht="15" customHeight="1" x14ac:dyDescent="0.45">
      <c r="A16" s="13" t="str">
        <f>Raw_Export_Clean!A16</f>
        <v>May-22</v>
      </c>
      <c r="B16" s="13" t="str">
        <f>Raw_Export_Clean!B16</f>
        <v>FY23</v>
      </c>
      <c r="C16" s="13" t="str">
        <f>Raw_Export_Clean!C16</f>
        <v>Q1</v>
      </c>
      <c r="D16" s="13" t="str">
        <f>Raw_Export_Clean!D16</f>
        <v>Cost</v>
      </c>
      <c r="E16" s="13" t="str">
        <f>Raw_Export_Clean!E16</f>
        <v>Sales</v>
      </c>
      <c r="F16" s="14">
        <f>Raw_Export_Clean!F16</f>
        <v>17.5</v>
      </c>
      <c r="G16" s="14">
        <f>Raw_Export_Clean!G16</f>
        <v>17.32</v>
      </c>
      <c r="H16" s="14">
        <f t="shared" si="0"/>
        <v>-0.17999999999999972</v>
      </c>
      <c r="I16" s="15">
        <f t="shared" si="1"/>
        <v>-1.028571428571427E-2</v>
      </c>
      <c r="J16" s="20" t="str">
        <f t="shared" si="2"/>
        <v>AMBER</v>
      </c>
      <c r="K16" s="14">
        <f>SUMPRODUCT((B$4:B16=B16)*(E$4:E16=E16)*H$4:H16)</f>
        <v>0</v>
      </c>
    </row>
    <row r="17" spans="1:11" ht="15" customHeight="1" x14ac:dyDescent="0.45">
      <c r="A17" s="17" t="str">
        <f>Raw_Export_Clean!A17</f>
        <v>May-22</v>
      </c>
      <c r="B17" s="17" t="str">
        <f>Raw_Export_Clean!B17</f>
        <v>FY23</v>
      </c>
      <c r="C17" s="17" t="str">
        <f>Raw_Export_Clean!C17</f>
        <v>Q1</v>
      </c>
      <c r="D17" s="17" t="str">
        <f>Raw_Export_Clean!D17</f>
        <v>Cost</v>
      </c>
      <c r="E17" s="17" t="str">
        <f>Raw_Export_Clean!E17</f>
        <v>Marketing</v>
      </c>
      <c r="F17" s="18">
        <f>Raw_Export_Clean!F17</f>
        <v>14</v>
      </c>
      <c r="G17" s="18">
        <f>Raw_Export_Clean!G17</f>
        <v>14.28</v>
      </c>
      <c r="H17" s="18">
        <f t="shared" si="0"/>
        <v>0.27999999999999936</v>
      </c>
      <c r="I17" s="19">
        <f t="shared" si="1"/>
        <v>1.9999999999999955E-2</v>
      </c>
      <c r="J17" s="20" t="str">
        <f t="shared" si="2"/>
        <v>AMBER</v>
      </c>
      <c r="K17" s="18">
        <f>SUMPRODUCT((B$4:B17=B17)*(E$4:E17=E17)*H$4:H17)</f>
        <v>0.69999999999999929</v>
      </c>
    </row>
    <row r="18" spans="1:11" ht="15" customHeight="1" x14ac:dyDescent="0.45">
      <c r="A18" s="13" t="str">
        <f>Raw_Export_Clean!A18</f>
        <v>May-22</v>
      </c>
      <c r="B18" s="13" t="str">
        <f>Raw_Export_Clean!B18</f>
        <v>FY23</v>
      </c>
      <c r="C18" s="13" t="str">
        <f>Raw_Export_Clean!C18</f>
        <v>Q1</v>
      </c>
      <c r="D18" s="13" t="str">
        <f>Raw_Export_Clean!D18</f>
        <v>Cost</v>
      </c>
      <c r="E18" s="13" t="str">
        <f>Raw_Export_Clean!E18</f>
        <v>HR</v>
      </c>
      <c r="F18" s="14">
        <f>Raw_Export_Clean!F18</f>
        <v>10.5</v>
      </c>
      <c r="G18" s="14">
        <f>Raw_Export_Clean!G18</f>
        <v>10.81</v>
      </c>
      <c r="H18" s="14">
        <f t="shared" si="0"/>
        <v>0.3100000000000005</v>
      </c>
      <c r="I18" s="15">
        <f t="shared" si="1"/>
        <v>2.952380952380957E-2</v>
      </c>
      <c r="J18" s="20" t="str">
        <f t="shared" si="2"/>
        <v>AMBER</v>
      </c>
      <c r="K18" s="14">
        <f>SUMPRODUCT((B$4:B18=B18)*(E$4:E18=E18)*H$4:H18)</f>
        <v>0.52000000000000135</v>
      </c>
    </row>
    <row r="19" spans="1:11" ht="15" customHeight="1" x14ac:dyDescent="0.45">
      <c r="A19" s="17" t="str">
        <f>Raw_Export_Clean!A19</f>
        <v>May-22</v>
      </c>
      <c r="B19" s="17" t="str">
        <f>Raw_Export_Clean!B19</f>
        <v>FY23</v>
      </c>
      <c r="C19" s="17" t="str">
        <f>Raw_Export_Clean!C19</f>
        <v>Q1</v>
      </c>
      <c r="D19" s="17" t="str">
        <f>Raw_Export_Clean!D19</f>
        <v>Cost</v>
      </c>
      <c r="E19" s="17" t="str">
        <f>Raw_Export_Clean!E19</f>
        <v>Finance &amp; Admin</v>
      </c>
      <c r="F19" s="18">
        <f>Raw_Export_Clean!F19</f>
        <v>7</v>
      </c>
      <c r="G19" s="18">
        <f>Raw_Export_Clean!G19</f>
        <v>7</v>
      </c>
      <c r="H19" s="18">
        <f t="shared" si="0"/>
        <v>0</v>
      </c>
      <c r="I19" s="19">
        <f t="shared" si="1"/>
        <v>0</v>
      </c>
      <c r="J19" s="20" t="str">
        <f t="shared" si="2"/>
        <v>AMBER</v>
      </c>
      <c r="K19" s="18">
        <f>SUMPRODUCT((B$4:B19=B19)*(E$4:E19=E19)*H$4:H19)</f>
        <v>7.0000000000000284E-2</v>
      </c>
    </row>
    <row r="20" spans="1:11" ht="15" customHeight="1" x14ac:dyDescent="0.45">
      <c r="A20" s="13" t="str">
        <f>Raw_Export_Clean!A20</f>
        <v>Jun-22</v>
      </c>
      <c r="B20" s="13" t="str">
        <f>Raw_Export_Clean!B20</f>
        <v>FY23</v>
      </c>
      <c r="C20" s="13" t="str">
        <f>Raw_Export_Clean!C20</f>
        <v>Q1</v>
      </c>
      <c r="D20" s="13" t="str">
        <f>Raw_Export_Clean!D20</f>
        <v>Revenue</v>
      </c>
      <c r="E20" s="13" t="str">
        <f>Raw_Export_Clean!E20</f>
        <v>Product A</v>
      </c>
      <c r="F20" s="14">
        <f>Raw_Export_Clean!F20</f>
        <v>87.5</v>
      </c>
      <c r="G20" s="14">
        <f>Raw_Export_Clean!G20</f>
        <v>90.12</v>
      </c>
      <c r="H20" s="14">
        <f t="shared" si="0"/>
        <v>2.6200000000000045</v>
      </c>
      <c r="I20" s="15">
        <f t="shared" si="1"/>
        <v>2.9942857142857195E-2</v>
      </c>
      <c r="J20" s="16" t="str">
        <f t="shared" si="2"/>
        <v>GREEN</v>
      </c>
      <c r="K20" s="14">
        <f>SUMPRODUCT((B$4:B20=B20)*(E$4:E20=E20)*H$4:H20)</f>
        <v>5.25</v>
      </c>
    </row>
    <row r="21" spans="1:11" ht="15" customHeight="1" x14ac:dyDescent="0.45">
      <c r="A21" s="17" t="str">
        <f>Raw_Export_Clean!A21</f>
        <v>Jun-22</v>
      </c>
      <c r="B21" s="17" t="str">
        <f>Raw_Export_Clean!B21</f>
        <v>FY23</v>
      </c>
      <c r="C21" s="17" t="str">
        <f>Raw_Export_Clean!C21</f>
        <v>Q1</v>
      </c>
      <c r="D21" s="17" t="str">
        <f>Raw_Export_Clean!D21</f>
        <v>Revenue</v>
      </c>
      <c r="E21" s="17" t="str">
        <f>Raw_Export_Clean!E21</f>
        <v>Product B</v>
      </c>
      <c r="F21" s="18">
        <f>Raw_Export_Clean!F21</f>
        <v>52.5</v>
      </c>
      <c r="G21" s="18">
        <f>Raw_Export_Clean!G21</f>
        <v>49.35</v>
      </c>
      <c r="H21" s="18">
        <f t="shared" si="0"/>
        <v>-3.1499999999999986</v>
      </c>
      <c r="I21" s="19">
        <f t="shared" si="1"/>
        <v>-5.999999999999997E-2</v>
      </c>
      <c r="J21" s="21" t="str">
        <f t="shared" si="2"/>
        <v>RED</v>
      </c>
      <c r="K21" s="18">
        <f>SUMPRODUCT((B$4:B21=B21)*(E$4:E21=E21)*H$4:H21)</f>
        <v>-7.8699999999999974</v>
      </c>
    </row>
    <row r="22" spans="1:11" ht="15" customHeight="1" x14ac:dyDescent="0.45">
      <c r="A22" s="13" t="str">
        <f>Raw_Export_Clean!A22</f>
        <v>Jun-22</v>
      </c>
      <c r="B22" s="13" t="str">
        <f>Raw_Export_Clean!B22</f>
        <v>FY23</v>
      </c>
      <c r="C22" s="13" t="str">
        <f>Raw_Export_Clean!C22</f>
        <v>Q1</v>
      </c>
      <c r="D22" s="13" t="str">
        <f>Raw_Export_Clean!D22</f>
        <v>Revenue</v>
      </c>
      <c r="E22" s="13" t="str">
        <f>Raw_Export_Clean!E22</f>
        <v>Services</v>
      </c>
      <c r="F22" s="14">
        <f>Raw_Export_Clean!F22</f>
        <v>35</v>
      </c>
      <c r="G22" s="14">
        <f>Raw_Export_Clean!G22</f>
        <v>37.1</v>
      </c>
      <c r="H22" s="14">
        <f t="shared" si="0"/>
        <v>2.1000000000000014</v>
      </c>
      <c r="I22" s="15">
        <f t="shared" si="1"/>
        <v>6.0000000000000039E-2</v>
      </c>
      <c r="J22" s="16" t="str">
        <f t="shared" si="2"/>
        <v>GREEN</v>
      </c>
      <c r="K22" s="14">
        <f>SUMPRODUCT((B$4:B22=B22)*(E$4:E22=E22)*H$4:H22)</f>
        <v>5.25</v>
      </c>
    </row>
    <row r="23" spans="1:11" ht="15" customHeight="1" x14ac:dyDescent="0.45">
      <c r="A23" s="17" t="str">
        <f>Raw_Export_Clean!A23</f>
        <v>Jun-22</v>
      </c>
      <c r="B23" s="17" t="str">
        <f>Raw_Export_Clean!B23</f>
        <v>FY23</v>
      </c>
      <c r="C23" s="17" t="str">
        <f>Raw_Export_Clean!C23</f>
        <v>Q1</v>
      </c>
      <c r="D23" s="17" t="str">
        <f>Raw_Export_Clean!D23</f>
        <v>Cost</v>
      </c>
      <c r="E23" s="17" t="str">
        <f>Raw_Export_Clean!E23</f>
        <v>Operations</v>
      </c>
      <c r="F23" s="18">
        <f>Raw_Export_Clean!F23</f>
        <v>78.75</v>
      </c>
      <c r="G23" s="18">
        <f>Raw_Export_Clean!G23</f>
        <v>80.33</v>
      </c>
      <c r="H23" s="18">
        <f t="shared" si="0"/>
        <v>1.5799999999999983</v>
      </c>
      <c r="I23" s="19">
        <f t="shared" si="1"/>
        <v>2.006349206349204E-2</v>
      </c>
      <c r="J23" s="20" t="str">
        <f t="shared" si="2"/>
        <v>AMBER</v>
      </c>
      <c r="K23" s="18">
        <f>SUMPRODUCT((B$4:B23=B23)*(E$4:E23=E23)*H$4:H23)</f>
        <v>5.519999999999996</v>
      </c>
    </row>
    <row r="24" spans="1:11" ht="15" customHeight="1" x14ac:dyDescent="0.45">
      <c r="A24" s="13" t="str">
        <f>Raw_Export_Clean!A24</f>
        <v>Jun-22</v>
      </c>
      <c r="B24" s="13" t="str">
        <f>Raw_Export_Clean!B24</f>
        <v>FY23</v>
      </c>
      <c r="C24" s="13" t="str">
        <f>Raw_Export_Clean!C24</f>
        <v>Q1</v>
      </c>
      <c r="D24" s="13" t="str">
        <f>Raw_Export_Clean!D24</f>
        <v>Cost</v>
      </c>
      <c r="E24" s="13" t="str">
        <f>Raw_Export_Clean!E24</f>
        <v>Sales</v>
      </c>
      <c r="F24" s="14">
        <f>Raw_Export_Clean!F24</f>
        <v>17.5</v>
      </c>
      <c r="G24" s="14">
        <f>Raw_Export_Clean!G24</f>
        <v>17.850000000000001</v>
      </c>
      <c r="H24" s="14">
        <f t="shared" si="0"/>
        <v>0.35000000000000142</v>
      </c>
      <c r="I24" s="15">
        <f t="shared" si="1"/>
        <v>2.000000000000008E-2</v>
      </c>
      <c r="J24" s="20" t="str">
        <f t="shared" si="2"/>
        <v>AMBER</v>
      </c>
      <c r="K24" s="14">
        <f>SUMPRODUCT((B$4:B24=B24)*(E$4:E24=E24)*H$4:H24)</f>
        <v>0.35000000000000142</v>
      </c>
    </row>
    <row r="25" spans="1:11" ht="15" customHeight="1" x14ac:dyDescent="0.45">
      <c r="A25" s="17" t="str">
        <f>Raw_Export_Clean!A25</f>
        <v>Jun-22</v>
      </c>
      <c r="B25" s="17" t="str">
        <f>Raw_Export_Clean!B25</f>
        <v>FY23</v>
      </c>
      <c r="C25" s="17" t="str">
        <f>Raw_Export_Clean!C25</f>
        <v>Q1</v>
      </c>
      <c r="D25" s="17" t="str">
        <f>Raw_Export_Clean!D25</f>
        <v>Cost</v>
      </c>
      <c r="E25" s="17" t="str">
        <f>Raw_Export_Clean!E25</f>
        <v>Marketing</v>
      </c>
      <c r="F25" s="18">
        <f>Raw_Export_Clean!F25</f>
        <v>14</v>
      </c>
      <c r="G25" s="18">
        <f>Raw_Export_Clean!G25</f>
        <v>14.56</v>
      </c>
      <c r="H25" s="18">
        <f t="shared" si="0"/>
        <v>0.5600000000000005</v>
      </c>
      <c r="I25" s="19">
        <f t="shared" si="1"/>
        <v>4.0000000000000036E-2</v>
      </c>
      <c r="J25" s="20" t="str">
        <f t="shared" si="2"/>
        <v>AMBER</v>
      </c>
      <c r="K25" s="18">
        <f>SUMPRODUCT((B$4:B25=B25)*(E$4:E25=E25)*H$4:H25)</f>
        <v>1.2599999999999998</v>
      </c>
    </row>
    <row r="26" spans="1:11" ht="15" customHeight="1" x14ac:dyDescent="0.45">
      <c r="A26" s="13" t="str">
        <f>Raw_Export_Clean!A26</f>
        <v>Jun-22</v>
      </c>
      <c r="B26" s="13" t="str">
        <f>Raw_Export_Clean!B26</f>
        <v>FY23</v>
      </c>
      <c r="C26" s="13" t="str">
        <f>Raw_Export_Clean!C26</f>
        <v>Q1</v>
      </c>
      <c r="D26" s="13" t="str">
        <f>Raw_Export_Clean!D26</f>
        <v>Cost</v>
      </c>
      <c r="E26" s="13" t="str">
        <f>Raw_Export_Clean!E26</f>
        <v>HR</v>
      </c>
      <c r="F26" s="14">
        <f>Raw_Export_Clean!F26</f>
        <v>10.5</v>
      </c>
      <c r="G26" s="14">
        <f>Raw_Export_Clean!G26</f>
        <v>10.71</v>
      </c>
      <c r="H26" s="14">
        <f t="shared" si="0"/>
        <v>0.21000000000000085</v>
      </c>
      <c r="I26" s="15">
        <f t="shared" si="1"/>
        <v>2.000000000000008E-2</v>
      </c>
      <c r="J26" s="20" t="str">
        <f t="shared" si="2"/>
        <v>AMBER</v>
      </c>
      <c r="K26" s="14">
        <f>SUMPRODUCT((B$4:B26=B26)*(E$4:E26=E26)*H$4:H26)</f>
        <v>0.7300000000000022</v>
      </c>
    </row>
    <row r="27" spans="1:11" ht="15" customHeight="1" x14ac:dyDescent="0.45">
      <c r="A27" s="17" t="str">
        <f>Raw_Export_Clean!A27</f>
        <v>Jun-22</v>
      </c>
      <c r="B27" s="17" t="str">
        <f>Raw_Export_Clean!B27</f>
        <v>FY23</v>
      </c>
      <c r="C27" s="17" t="str">
        <f>Raw_Export_Clean!C27</f>
        <v>Q1</v>
      </c>
      <c r="D27" s="17" t="str">
        <f>Raw_Export_Clean!D27</f>
        <v>Cost</v>
      </c>
      <c r="E27" s="17" t="str">
        <f>Raw_Export_Clean!E27</f>
        <v>Finance &amp; Admin</v>
      </c>
      <c r="F27" s="18">
        <f>Raw_Export_Clean!F27</f>
        <v>7</v>
      </c>
      <c r="G27" s="18">
        <f>Raw_Export_Clean!G27</f>
        <v>7.07</v>
      </c>
      <c r="H27" s="18">
        <f t="shared" si="0"/>
        <v>7.0000000000000284E-2</v>
      </c>
      <c r="I27" s="19">
        <f t="shared" si="1"/>
        <v>1.000000000000004E-2</v>
      </c>
      <c r="J27" s="20" t="str">
        <f t="shared" si="2"/>
        <v>AMBER</v>
      </c>
      <c r="K27" s="18">
        <f>SUMPRODUCT((B$4:B27=B27)*(E$4:E27=E27)*H$4:H27)</f>
        <v>0.14000000000000057</v>
      </c>
    </row>
    <row r="28" spans="1:11" ht="15" customHeight="1" x14ac:dyDescent="0.45">
      <c r="A28" s="13" t="str">
        <f>Raw_Export_Clean!A28</f>
        <v>Jul-22</v>
      </c>
      <c r="B28" s="13" t="str">
        <f>Raw_Export_Clean!B28</f>
        <v>FY23</v>
      </c>
      <c r="C28" s="13" t="str">
        <f>Raw_Export_Clean!C28</f>
        <v>Q2</v>
      </c>
      <c r="D28" s="13" t="str">
        <f>Raw_Export_Clean!D28</f>
        <v>Revenue</v>
      </c>
      <c r="E28" s="13" t="str">
        <f>Raw_Export_Clean!E28</f>
        <v>Product A</v>
      </c>
      <c r="F28" s="14">
        <f>Raw_Export_Clean!F28</f>
        <v>100</v>
      </c>
      <c r="G28" s="14">
        <f>Raw_Export_Clean!G28</f>
        <v>102</v>
      </c>
      <c r="H28" s="14">
        <f t="shared" si="0"/>
        <v>2</v>
      </c>
      <c r="I28" s="15">
        <f t="shared" si="1"/>
        <v>0.02</v>
      </c>
      <c r="J28" s="16" t="str">
        <f t="shared" si="2"/>
        <v>GREEN</v>
      </c>
      <c r="K28" s="14">
        <f>SUMPRODUCT((B$4:B28=B28)*(E$4:E28=E28)*H$4:H28)</f>
        <v>7.25</v>
      </c>
    </row>
    <row r="29" spans="1:11" ht="15" customHeight="1" x14ac:dyDescent="0.45">
      <c r="A29" s="17" t="str">
        <f>Raw_Export_Clean!A29</f>
        <v>Jul-22</v>
      </c>
      <c r="B29" s="17" t="str">
        <f>Raw_Export_Clean!B29</f>
        <v>FY23</v>
      </c>
      <c r="C29" s="17" t="str">
        <f>Raw_Export_Clean!C29</f>
        <v>Q2</v>
      </c>
      <c r="D29" s="17" t="str">
        <f>Raw_Export_Clean!D29</f>
        <v>Revenue</v>
      </c>
      <c r="E29" s="17" t="str">
        <f>Raw_Export_Clean!E29</f>
        <v>Product B</v>
      </c>
      <c r="F29" s="18">
        <f>Raw_Export_Clean!F29</f>
        <v>60</v>
      </c>
      <c r="G29" s="18">
        <f>Raw_Export_Clean!G29</f>
        <v>57</v>
      </c>
      <c r="H29" s="18">
        <f t="shared" si="0"/>
        <v>-3</v>
      </c>
      <c r="I29" s="19">
        <f t="shared" si="1"/>
        <v>-0.05</v>
      </c>
      <c r="J29" s="20" t="str">
        <f t="shared" si="2"/>
        <v>AMBER</v>
      </c>
      <c r="K29" s="18">
        <f>SUMPRODUCT((B$4:B29=B29)*(E$4:E29=E29)*H$4:H29)</f>
        <v>-10.869999999999997</v>
      </c>
    </row>
    <row r="30" spans="1:11" ht="15" customHeight="1" x14ac:dyDescent="0.45">
      <c r="A30" s="13" t="str">
        <f>Raw_Export_Clean!A30</f>
        <v>Jul-22</v>
      </c>
      <c r="B30" s="13" t="str">
        <f>Raw_Export_Clean!B30</f>
        <v>FY23</v>
      </c>
      <c r="C30" s="13" t="str">
        <f>Raw_Export_Clean!C30</f>
        <v>Q2</v>
      </c>
      <c r="D30" s="13" t="str">
        <f>Raw_Export_Clean!D30</f>
        <v>Revenue</v>
      </c>
      <c r="E30" s="13" t="str">
        <f>Raw_Export_Clean!E30</f>
        <v>Services</v>
      </c>
      <c r="F30" s="14">
        <f>Raw_Export_Clean!F30</f>
        <v>40</v>
      </c>
      <c r="G30" s="14">
        <f>Raw_Export_Clean!G30</f>
        <v>42.8</v>
      </c>
      <c r="H30" s="14">
        <f t="shared" si="0"/>
        <v>2.7999999999999972</v>
      </c>
      <c r="I30" s="15">
        <f t="shared" si="1"/>
        <v>6.9999999999999923E-2</v>
      </c>
      <c r="J30" s="16" t="str">
        <f t="shared" si="2"/>
        <v>GREEN</v>
      </c>
      <c r="K30" s="14">
        <f>SUMPRODUCT((B$4:B30=B30)*(E$4:E30=E30)*H$4:H30)</f>
        <v>8.0499999999999972</v>
      </c>
    </row>
    <row r="31" spans="1:11" ht="15" customHeight="1" x14ac:dyDescent="0.45">
      <c r="A31" s="17" t="str">
        <f>Raw_Export_Clean!A31</f>
        <v>Jul-22</v>
      </c>
      <c r="B31" s="17" t="str">
        <f>Raw_Export_Clean!B31</f>
        <v>FY23</v>
      </c>
      <c r="C31" s="17" t="str">
        <f>Raw_Export_Clean!C31</f>
        <v>Q2</v>
      </c>
      <c r="D31" s="17" t="str">
        <f>Raw_Export_Clean!D31</f>
        <v>Cost</v>
      </c>
      <c r="E31" s="17" t="str">
        <f>Raw_Export_Clean!E31</f>
        <v>Operations</v>
      </c>
      <c r="F31" s="18">
        <f>Raw_Export_Clean!F31</f>
        <v>90</v>
      </c>
      <c r="G31" s="18">
        <f>Raw_Export_Clean!G31</f>
        <v>93.6</v>
      </c>
      <c r="H31" s="18">
        <f t="shared" si="0"/>
        <v>3.5999999999999943</v>
      </c>
      <c r="I31" s="19">
        <f t="shared" si="1"/>
        <v>3.9999999999999938E-2</v>
      </c>
      <c r="J31" s="20" t="str">
        <f t="shared" si="2"/>
        <v>AMBER</v>
      </c>
      <c r="K31" s="18">
        <f>SUMPRODUCT((B$4:B31=B31)*(E$4:E31=E31)*H$4:H31)</f>
        <v>9.1199999999999903</v>
      </c>
    </row>
    <row r="32" spans="1:11" ht="15" customHeight="1" x14ac:dyDescent="0.45">
      <c r="A32" s="13" t="str">
        <f>Raw_Export_Clean!A32</f>
        <v>Jul-22</v>
      </c>
      <c r="B32" s="13" t="str">
        <f>Raw_Export_Clean!B32</f>
        <v>FY23</v>
      </c>
      <c r="C32" s="13" t="str">
        <f>Raw_Export_Clean!C32</f>
        <v>Q2</v>
      </c>
      <c r="D32" s="13" t="str">
        <f>Raw_Export_Clean!D32</f>
        <v>Cost</v>
      </c>
      <c r="E32" s="13" t="str">
        <f>Raw_Export_Clean!E32</f>
        <v>Sales</v>
      </c>
      <c r="F32" s="14">
        <f>Raw_Export_Clean!F32</f>
        <v>20</v>
      </c>
      <c r="G32" s="14">
        <f>Raw_Export_Clean!G32</f>
        <v>20.2</v>
      </c>
      <c r="H32" s="14">
        <f t="shared" si="0"/>
        <v>0.19999999999999929</v>
      </c>
      <c r="I32" s="15">
        <f t="shared" si="1"/>
        <v>9.9999999999999638E-3</v>
      </c>
      <c r="J32" s="20" t="str">
        <f t="shared" si="2"/>
        <v>AMBER</v>
      </c>
      <c r="K32" s="14">
        <f>SUMPRODUCT((B$4:B32=B32)*(E$4:E32=E32)*H$4:H32)</f>
        <v>0.55000000000000071</v>
      </c>
    </row>
    <row r="33" spans="1:11" ht="15" customHeight="1" x14ac:dyDescent="0.45">
      <c r="A33" s="17" t="str">
        <f>Raw_Export_Clean!A33</f>
        <v>Jul-22</v>
      </c>
      <c r="B33" s="17" t="str">
        <f>Raw_Export_Clean!B33</f>
        <v>FY23</v>
      </c>
      <c r="C33" s="17" t="str">
        <f>Raw_Export_Clean!C33</f>
        <v>Q2</v>
      </c>
      <c r="D33" s="17" t="str">
        <f>Raw_Export_Clean!D33</f>
        <v>Cost</v>
      </c>
      <c r="E33" s="17" t="str">
        <f>Raw_Export_Clean!E33</f>
        <v>Marketing</v>
      </c>
      <c r="F33" s="18">
        <f>Raw_Export_Clean!F33</f>
        <v>16</v>
      </c>
      <c r="G33" s="18">
        <f>Raw_Export_Clean!G33</f>
        <v>16.48</v>
      </c>
      <c r="H33" s="18">
        <f t="shared" si="0"/>
        <v>0.48000000000000043</v>
      </c>
      <c r="I33" s="19">
        <f t="shared" si="1"/>
        <v>3.0000000000000027E-2</v>
      </c>
      <c r="J33" s="20" t="str">
        <f t="shared" si="2"/>
        <v>AMBER</v>
      </c>
      <c r="K33" s="18">
        <f>SUMPRODUCT((B$4:B33=B33)*(E$4:E33=E33)*H$4:H33)</f>
        <v>1.7400000000000002</v>
      </c>
    </row>
    <row r="34" spans="1:11" ht="15" customHeight="1" x14ac:dyDescent="0.45">
      <c r="A34" s="13" t="str">
        <f>Raw_Export_Clean!A34</f>
        <v>Jul-22</v>
      </c>
      <c r="B34" s="13" t="str">
        <f>Raw_Export_Clean!B34</f>
        <v>FY23</v>
      </c>
      <c r="C34" s="13" t="str">
        <f>Raw_Export_Clean!C34</f>
        <v>Q2</v>
      </c>
      <c r="D34" s="13" t="str">
        <f>Raw_Export_Clean!D34</f>
        <v>Cost</v>
      </c>
      <c r="E34" s="13" t="str">
        <f>Raw_Export_Clean!E34</f>
        <v>HR</v>
      </c>
      <c r="F34" s="14">
        <f>Raw_Export_Clean!F34</f>
        <v>12</v>
      </c>
      <c r="G34" s="14">
        <f>Raw_Export_Clean!G34</f>
        <v>12.48</v>
      </c>
      <c r="H34" s="14">
        <f t="shared" si="0"/>
        <v>0.48000000000000043</v>
      </c>
      <c r="I34" s="15">
        <f t="shared" si="1"/>
        <v>4.0000000000000036E-2</v>
      </c>
      <c r="J34" s="20" t="str">
        <f t="shared" si="2"/>
        <v>AMBER</v>
      </c>
      <c r="K34" s="14">
        <f>SUMPRODUCT((B$4:B34=B34)*(E$4:E34=E34)*H$4:H34)</f>
        <v>1.2100000000000026</v>
      </c>
    </row>
    <row r="35" spans="1:11" ht="15" customHeight="1" x14ac:dyDescent="0.45">
      <c r="A35" s="17" t="str">
        <f>Raw_Export_Clean!A35</f>
        <v>Jul-22</v>
      </c>
      <c r="B35" s="17" t="str">
        <f>Raw_Export_Clean!B35</f>
        <v>FY23</v>
      </c>
      <c r="C35" s="17" t="str">
        <f>Raw_Export_Clean!C35</f>
        <v>Q2</v>
      </c>
      <c r="D35" s="17" t="str">
        <f>Raw_Export_Clean!D35</f>
        <v>Cost</v>
      </c>
      <c r="E35" s="17" t="str">
        <f>Raw_Export_Clean!E35</f>
        <v>Finance &amp; Admin</v>
      </c>
      <c r="F35" s="18">
        <f>Raw_Export_Clean!F35</f>
        <v>8</v>
      </c>
      <c r="G35" s="18">
        <f>Raw_Export_Clean!G35</f>
        <v>8.16</v>
      </c>
      <c r="H35" s="18">
        <f t="shared" si="0"/>
        <v>0.16000000000000014</v>
      </c>
      <c r="I35" s="19">
        <f t="shared" si="1"/>
        <v>2.0000000000000018E-2</v>
      </c>
      <c r="J35" s="20" t="str">
        <f t="shared" si="2"/>
        <v>AMBER</v>
      </c>
      <c r="K35" s="18">
        <f>SUMPRODUCT((B$4:B35=B35)*(E$4:E35=E35)*H$4:H35)</f>
        <v>0.30000000000000071</v>
      </c>
    </row>
    <row r="36" spans="1:11" ht="15" customHeight="1" x14ac:dyDescent="0.45">
      <c r="A36" s="13" t="str">
        <f>Raw_Export_Clean!A36</f>
        <v>Aug-22</v>
      </c>
      <c r="B36" s="13" t="str">
        <f>Raw_Export_Clean!B36</f>
        <v>FY23</v>
      </c>
      <c r="C36" s="13" t="str">
        <f>Raw_Export_Clean!C36</f>
        <v>Q2</v>
      </c>
      <c r="D36" s="13" t="str">
        <f>Raw_Export_Clean!D36</f>
        <v>Revenue</v>
      </c>
      <c r="E36" s="13" t="str">
        <f>Raw_Export_Clean!E36</f>
        <v>Product A</v>
      </c>
      <c r="F36" s="14">
        <f>Raw_Export_Clean!F36</f>
        <v>100</v>
      </c>
      <c r="G36" s="14">
        <f>Raw_Export_Clean!G36</f>
        <v>101</v>
      </c>
      <c r="H36" s="14">
        <f t="shared" ref="H36:H67" si="3">G36-F36</f>
        <v>1</v>
      </c>
      <c r="I36" s="15">
        <f t="shared" ref="I36:I67" si="4">IF(F36&lt;&gt;0,(G36-F36)/F36,0)</f>
        <v>0.01</v>
      </c>
      <c r="J36" s="20" t="str">
        <f t="shared" ref="J36:J67" si="5">IF(D36="Revenue",IF(I36&gt;=0.02,"GREEN",IF(I36&gt;=-0.05,"AMBER","RED")),IF(I36&lt;=-0.02,"GREEN",IF(I36&lt;=0.05,"AMBER","RED")))</f>
        <v>AMBER</v>
      </c>
      <c r="K36" s="14">
        <f>SUMPRODUCT((B$4:B36=B36)*(E$4:E36=E36)*H$4:H36)</f>
        <v>8.25</v>
      </c>
    </row>
    <row r="37" spans="1:11" ht="15" customHeight="1" x14ac:dyDescent="0.45">
      <c r="A37" s="17" t="str">
        <f>Raw_Export_Clean!A37</f>
        <v>Aug-22</v>
      </c>
      <c r="B37" s="17" t="str">
        <f>Raw_Export_Clean!B37</f>
        <v>FY23</v>
      </c>
      <c r="C37" s="17" t="str">
        <f>Raw_Export_Clean!C37</f>
        <v>Q2</v>
      </c>
      <c r="D37" s="17" t="str">
        <f>Raw_Export_Clean!D37</f>
        <v>Revenue</v>
      </c>
      <c r="E37" s="17" t="str">
        <f>Raw_Export_Clean!E37</f>
        <v>Product B</v>
      </c>
      <c r="F37" s="18">
        <f>Raw_Export_Clean!F37</f>
        <v>60</v>
      </c>
      <c r="G37" s="18">
        <f>Raw_Export_Clean!G37</f>
        <v>55.8</v>
      </c>
      <c r="H37" s="18">
        <f t="shared" si="3"/>
        <v>-4.2000000000000028</v>
      </c>
      <c r="I37" s="19">
        <f t="shared" si="4"/>
        <v>-7.0000000000000048E-2</v>
      </c>
      <c r="J37" s="21" t="str">
        <f t="shared" si="5"/>
        <v>RED</v>
      </c>
      <c r="K37" s="18">
        <f>SUMPRODUCT((B$4:B37=B37)*(E$4:E37=E37)*H$4:H37)</f>
        <v>-15.07</v>
      </c>
    </row>
    <row r="38" spans="1:11" ht="15" customHeight="1" x14ac:dyDescent="0.45">
      <c r="A38" s="13" t="str">
        <f>Raw_Export_Clean!A38</f>
        <v>Aug-22</v>
      </c>
      <c r="B38" s="13" t="str">
        <f>Raw_Export_Clean!B38</f>
        <v>FY23</v>
      </c>
      <c r="C38" s="13" t="str">
        <f>Raw_Export_Clean!C38</f>
        <v>Q2</v>
      </c>
      <c r="D38" s="13" t="str">
        <f>Raw_Export_Clean!D38</f>
        <v>Revenue</v>
      </c>
      <c r="E38" s="13" t="str">
        <f>Raw_Export_Clean!E38</f>
        <v>Services</v>
      </c>
      <c r="F38" s="14">
        <f>Raw_Export_Clean!F38</f>
        <v>40</v>
      </c>
      <c r="G38" s="14">
        <f>Raw_Export_Clean!G38</f>
        <v>42.4</v>
      </c>
      <c r="H38" s="14">
        <f t="shared" si="3"/>
        <v>2.3999999999999986</v>
      </c>
      <c r="I38" s="15">
        <f t="shared" si="4"/>
        <v>5.9999999999999963E-2</v>
      </c>
      <c r="J38" s="16" t="str">
        <f t="shared" si="5"/>
        <v>GREEN</v>
      </c>
      <c r="K38" s="14">
        <f>SUMPRODUCT((B$4:B38=B38)*(E$4:E38=E38)*H$4:H38)</f>
        <v>10.449999999999996</v>
      </c>
    </row>
    <row r="39" spans="1:11" ht="15" customHeight="1" x14ac:dyDescent="0.45">
      <c r="A39" s="17" t="str">
        <f>Raw_Export_Clean!A39</f>
        <v>Aug-22</v>
      </c>
      <c r="B39" s="17" t="str">
        <f>Raw_Export_Clean!B39</f>
        <v>FY23</v>
      </c>
      <c r="C39" s="17" t="str">
        <f>Raw_Export_Clean!C39</f>
        <v>Q2</v>
      </c>
      <c r="D39" s="17" t="str">
        <f>Raw_Export_Clean!D39</f>
        <v>Cost</v>
      </c>
      <c r="E39" s="17" t="str">
        <f>Raw_Export_Clean!E39</f>
        <v>Operations</v>
      </c>
      <c r="F39" s="18">
        <f>Raw_Export_Clean!F39</f>
        <v>90</v>
      </c>
      <c r="G39" s="18">
        <f>Raw_Export_Clean!G39</f>
        <v>92.7</v>
      </c>
      <c r="H39" s="18">
        <f t="shared" si="3"/>
        <v>2.7000000000000028</v>
      </c>
      <c r="I39" s="19">
        <f t="shared" si="4"/>
        <v>3.000000000000003E-2</v>
      </c>
      <c r="J39" s="20" t="str">
        <f t="shared" si="5"/>
        <v>AMBER</v>
      </c>
      <c r="K39" s="18">
        <f>SUMPRODUCT((B$4:B39=B39)*(E$4:E39=E39)*H$4:H39)</f>
        <v>11.819999999999993</v>
      </c>
    </row>
    <row r="40" spans="1:11" ht="15" customHeight="1" x14ac:dyDescent="0.45">
      <c r="A40" s="13" t="str">
        <f>Raw_Export_Clean!A40</f>
        <v>Aug-22</v>
      </c>
      <c r="B40" s="13" t="str">
        <f>Raw_Export_Clean!B40</f>
        <v>FY23</v>
      </c>
      <c r="C40" s="13" t="str">
        <f>Raw_Export_Clean!C40</f>
        <v>Q2</v>
      </c>
      <c r="D40" s="13" t="str">
        <f>Raw_Export_Clean!D40</f>
        <v>Cost</v>
      </c>
      <c r="E40" s="13" t="str">
        <f>Raw_Export_Clean!E40</f>
        <v>Sales</v>
      </c>
      <c r="F40" s="14">
        <f>Raw_Export_Clean!F40</f>
        <v>20</v>
      </c>
      <c r="G40" s="14">
        <f>Raw_Export_Clean!G40</f>
        <v>19.600000000000001</v>
      </c>
      <c r="H40" s="14">
        <f t="shared" si="3"/>
        <v>-0.39999999999999858</v>
      </c>
      <c r="I40" s="15">
        <f t="shared" si="4"/>
        <v>-1.9999999999999928E-2</v>
      </c>
      <c r="J40" s="16" t="str">
        <f t="shared" si="5"/>
        <v>AMBER</v>
      </c>
      <c r="K40" s="14">
        <f>SUMPRODUCT((B$4:B40=B40)*(E$4:E40=E40)*H$4:H40)</f>
        <v>0.15000000000000213</v>
      </c>
    </row>
    <row r="41" spans="1:11" ht="15" customHeight="1" x14ac:dyDescent="0.45">
      <c r="A41" s="17" t="str">
        <f>Raw_Export_Clean!A41</f>
        <v>Aug-22</v>
      </c>
      <c r="B41" s="17" t="str">
        <f>Raw_Export_Clean!B41</f>
        <v>FY23</v>
      </c>
      <c r="C41" s="17" t="str">
        <f>Raw_Export_Clean!C41</f>
        <v>Q2</v>
      </c>
      <c r="D41" s="17" t="str">
        <f>Raw_Export_Clean!D41</f>
        <v>Cost</v>
      </c>
      <c r="E41" s="17" t="str">
        <f>Raw_Export_Clean!E41</f>
        <v>Marketing</v>
      </c>
      <c r="F41" s="18">
        <f>Raw_Export_Clean!F41</f>
        <v>16</v>
      </c>
      <c r="G41" s="18">
        <f>Raw_Export_Clean!G41</f>
        <v>16.8</v>
      </c>
      <c r="H41" s="18">
        <f t="shared" si="3"/>
        <v>0.80000000000000071</v>
      </c>
      <c r="I41" s="19">
        <f t="shared" si="4"/>
        <v>5.0000000000000044E-2</v>
      </c>
      <c r="J41" s="20" t="str">
        <f t="shared" si="5"/>
        <v>AMBER</v>
      </c>
      <c r="K41" s="18">
        <f>SUMPRODUCT((B$4:B41=B41)*(E$4:E41=E41)*H$4:H41)</f>
        <v>2.5400000000000009</v>
      </c>
    </row>
    <row r="42" spans="1:11" ht="15" customHeight="1" x14ac:dyDescent="0.45">
      <c r="A42" s="13" t="str">
        <f>Raw_Export_Clean!A42</f>
        <v>Aug-22</v>
      </c>
      <c r="B42" s="13" t="str">
        <f>Raw_Export_Clean!B42</f>
        <v>FY23</v>
      </c>
      <c r="C42" s="13" t="str">
        <f>Raw_Export_Clean!C42</f>
        <v>Q2</v>
      </c>
      <c r="D42" s="13" t="str">
        <f>Raw_Export_Clean!D42</f>
        <v>Cost</v>
      </c>
      <c r="E42" s="13" t="str">
        <f>Raw_Export_Clean!E42</f>
        <v>HR</v>
      </c>
      <c r="F42" s="14">
        <f>Raw_Export_Clean!F42</f>
        <v>12</v>
      </c>
      <c r="G42" s="14">
        <f>Raw_Export_Clean!G42</f>
        <v>12.36</v>
      </c>
      <c r="H42" s="14">
        <f t="shared" si="3"/>
        <v>0.35999999999999943</v>
      </c>
      <c r="I42" s="15">
        <f t="shared" si="4"/>
        <v>2.9999999999999954E-2</v>
      </c>
      <c r="J42" s="20" t="str">
        <f t="shared" si="5"/>
        <v>AMBER</v>
      </c>
      <c r="K42" s="14">
        <f>SUMPRODUCT((B$4:B42=B42)*(E$4:E42=E42)*H$4:H42)</f>
        <v>1.5700000000000021</v>
      </c>
    </row>
    <row r="43" spans="1:11" ht="15" customHeight="1" x14ac:dyDescent="0.45">
      <c r="A43" s="17" t="str">
        <f>Raw_Export_Clean!A43</f>
        <v>Aug-22</v>
      </c>
      <c r="B43" s="17" t="str">
        <f>Raw_Export_Clean!B43</f>
        <v>FY23</v>
      </c>
      <c r="C43" s="17" t="str">
        <f>Raw_Export_Clean!C43</f>
        <v>Q2</v>
      </c>
      <c r="D43" s="17" t="str">
        <f>Raw_Export_Clean!D43</f>
        <v>Cost</v>
      </c>
      <c r="E43" s="17" t="str">
        <f>Raw_Export_Clean!E43</f>
        <v>Finance &amp; Admin</v>
      </c>
      <c r="F43" s="18">
        <f>Raw_Export_Clean!F43</f>
        <v>8</v>
      </c>
      <c r="G43" s="18">
        <f>Raw_Export_Clean!G43</f>
        <v>8.08</v>
      </c>
      <c r="H43" s="18">
        <f t="shared" si="3"/>
        <v>8.0000000000000071E-2</v>
      </c>
      <c r="I43" s="19">
        <f t="shared" si="4"/>
        <v>1.0000000000000009E-2</v>
      </c>
      <c r="J43" s="20" t="str">
        <f t="shared" si="5"/>
        <v>AMBER</v>
      </c>
      <c r="K43" s="18">
        <f>SUMPRODUCT((B$4:B43=B43)*(E$4:E43=E43)*H$4:H43)</f>
        <v>0.38000000000000078</v>
      </c>
    </row>
    <row r="44" spans="1:11" ht="15" customHeight="1" x14ac:dyDescent="0.45">
      <c r="A44" s="13" t="str">
        <f>Raw_Export_Clean!A44</f>
        <v>Sep-22</v>
      </c>
      <c r="B44" s="13" t="str">
        <f>Raw_Export_Clean!B44</f>
        <v>FY23</v>
      </c>
      <c r="C44" s="13" t="str">
        <f>Raw_Export_Clean!C44</f>
        <v>Q2</v>
      </c>
      <c r="D44" s="13" t="str">
        <f>Raw_Export_Clean!D44</f>
        <v>Revenue</v>
      </c>
      <c r="E44" s="13" t="str">
        <f>Raw_Export_Clean!E44</f>
        <v>Product A</v>
      </c>
      <c r="F44" s="14">
        <f>Raw_Export_Clean!F44</f>
        <v>100</v>
      </c>
      <c r="G44" s="14">
        <f>Raw_Export_Clean!G44</f>
        <v>103</v>
      </c>
      <c r="H44" s="14">
        <f t="shared" si="3"/>
        <v>3</v>
      </c>
      <c r="I44" s="15">
        <f t="shared" si="4"/>
        <v>0.03</v>
      </c>
      <c r="J44" s="16" t="str">
        <f t="shared" si="5"/>
        <v>GREEN</v>
      </c>
      <c r="K44" s="14">
        <f>SUMPRODUCT((B$4:B44=B44)*(E$4:E44=E44)*H$4:H44)</f>
        <v>11.25</v>
      </c>
    </row>
    <row r="45" spans="1:11" ht="15" customHeight="1" x14ac:dyDescent="0.45">
      <c r="A45" s="17" t="str">
        <f>Raw_Export_Clean!A45</f>
        <v>Sep-22</v>
      </c>
      <c r="B45" s="17" t="str">
        <f>Raw_Export_Clean!B45</f>
        <v>FY23</v>
      </c>
      <c r="C45" s="17" t="str">
        <f>Raw_Export_Clean!C45</f>
        <v>Q2</v>
      </c>
      <c r="D45" s="17" t="str">
        <f>Raw_Export_Clean!D45</f>
        <v>Revenue</v>
      </c>
      <c r="E45" s="17" t="str">
        <f>Raw_Export_Clean!E45</f>
        <v>Product B</v>
      </c>
      <c r="F45" s="18">
        <f>Raw_Export_Clean!F45</f>
        <v>60</v>
      </c>
      <c r="G45" s="18">
        <f>Raw_Export_Clean!G45</f>
        <v>55.2</v>
      </c>
      <c r="H45" s="18">
        <f t="shared" si="3"/>
        <v>-4.7999999999999972</v>
      </c>
      <c r="I45" s="19">
        <f t="shared" si="4"/>
        <v>-7.9999999999999946E-2</v>
      </c>
      <c r="J45" s="21" t="str">
        <f t="shared" si="5"/>
        <v>RED</v>
      </c>
      <c r="K45" s="18">
        <f>SUMPRODUCT((B$4:B45=B45)*(E$4:E45=E45)*H$4:H45)</f>
        <v>-19.869999999999997</v>
      </c>
    </row>
    <row r="46" spans="1:11" ht="15" customHeight="1" x14ac:dyDescent="0.45">
      <c r="A46" s="13" t="str">
        <f>Raw_Export_Clean!A46</f>
        <v>Sep-22</v>
      </c>
      <c r="B46" s="13" t="str">
        <f>Raw_Export_Clean!B46</f>
        <v>FY23</v>
      </c>
      <c r="C46" s="13" t="str">
        <f>Raw_Export_Clean!C46</f>
        <v>Q2</v>
      </c>
      <c r="D46" s="13" t="str">
        <f>Raw_Export_Clean!D46</f>
        <v>Revenue</v>
      </c>
      <c r="E46" s="13" t="str">
        <f>Raw_Export_Clean!E46</f>
        <v>Services</v>
      </c>
      <c r="F46" s="14">
        <f>Raw_Export_Clean!F46</f>
        <v>40</v>
      </c>
      <c r="G46" s="14">
        <f>Raw_Export_Clean!G46</f>
        <v>43.2</v>
      </c>
      <c r="H46" s="14">
        <f t="shared" si="3"/>
        <v>3.2000000000000028</v>
      </c>
      <c r="I46" s="15">
        <f t="shared" si="4"/>
        <v>8.0000000000000071E-2</v>
      </c>
      <c r="J46" s="16" t="str">
        <f t="shared" si="5"/>
        <v>GREEN</v>
      </c>
      <c r="K46" s="14">
        <f>SUMPRODUCT((B$4:B46=B46)*(E$4:E46=E46)*H$4:H46)</f>
        <v>13.649999999999999</v>
      </c>
    </row>
    <row r="47" spans="1:11" ht="15" customHeight="1" x14ac:dyDescent="0.45">
      <c r="A47" s="17" t="str">
        <f>Raw_Export_Clean!A47</f>
        <v>Sep-22</v>
      </c>
      <c r="B47" s="17" t="str">
        <f>Raw_Export_Clean!B47</f>
        <v>FY23</v>
      </c>
      <c r="C47" s="17" t="str">
        <f>Raw_Export_Clean!C47</f>
        <v>Q2</v>
      </c>
      <c r="D47" s="17" t="str">
        <f>Raw_Export_Clean!D47</f>
        <v>Cost</v>
      </c>
      <c r="E47" s="17" t="str">
        <f>Raw_Export_Clean!E47</f>
        <v>Operations</v>
      </c>
      <c r="F47" s="18">
        <f>Raw_Export_Clean!F47</f>
        <v>90</v>
      </c>
      <c r="G47" s="18">
        <f>Raw_Export_Clean!G47</f>
        <v>94.5</v>
      </c>
      <c r="H47" s="18">
        <f t="shared" si="3"/>
        <v>4.5</v>
      </c>
      <c r="I47" s="19">
        <f t="shared" si="4"/>
        <v>0.05</v>
      </c>
      <c r="J47" s="20" t="str">
        <f t="shared" si="5"/>
        <v>AMBER</v>
      </c>
      <c r="K47" s="18">
        <f>SUMPRODUCT((B$4:B47=B47)*(E$4:E47=E47)*H$4:H47)</f>
        <v>16.319999999999993</v>
      </c>
    </row>
    <row r="48" spans="1:11" ht="15" customHeight="1" x14ac:dyDescent="0.45">
      <c r="A48" s="13" t="str">
        <f>Raw_Export_Clean!A48</f>
        <v>Sep-22</v>
      </c>
      <c r="B48" s="13" t="str">
        <f>Raw_Export_Clean!B48</f>
        <v>FY23</v>
      </c>
      <c r="C48" s="13" t="str">
        <f>Raw_Export_Clean!C48</f>
        <v>Q2</v>
      </c>
      <c r="D48" s="13" t="str">
        <f>Raw_Export_Clean!D48</f>
        <v>Cost</v>
      </c>
      <c r="E48" s="13" t="str">
        <f>Raw_Export_Clean!E48</f>
        <v>Sales</v>
      </c>
      <c r="F48" s="14">
        <f>Raw_Export_Clean!F48</f>
        <v>20</v>
      </c>
      <c r="G48" s="14">
        <f>Raw_Export_Clean!G48</f>
        <v>20.399999999999999</v>
      </c>
      <c r="H48" s="14">
        <f t="shared" si="3"/>
        <v>0.39999999999999858</v>
      </c>
      <c r="I48" s="15">
        <f t="shared" si="4"/>
        <v>1.9999999999999928E-2</v>
      </c>
      <c r="J48" s="20" t="str">
        <f t="shared" si="5"/>
        <v>AMBER</v>
      </c>
      <c r="K48" s="14">
        <f>SUMPRODUCT((B$4:B48=B48)*(E$4:E48=E48)*H$4:H48)</f>
        <v>0.55000000000000071</v>
      </c>
    </row>
    <row r="49" spans="1:11" ht="15" customHeight="1" x14ac:dyDescent="0.45">
      <c r="A49" s="17" t="str">
        <f>Raw_Export_Clean!A49</f>
        <v>Sep-22</v>
      </c>
      <c r="B49" s="17" t="str">
        <f>Raw_Export_Clean!B49</f>
        <v>FY23</v>
      </c>
      <c r="C49" s="17" t="str">
        <f>Raw_Export_Clean!C49</f>
        <v>Q2</v>
      </c>
      <c r="D49" s="17" t="str">
        <f>Raw_Export_Clean!D49</f>
        <v>Cost</v>
      </c>
      <c r="E49" s="17" t="str">
        <f>Raw_Export_Clean!E49</f>
        <v>Marketing</v>
      </c>
      <c r="F49" s="18">
        <f>Raw_Export_Clean!F49</f>
        <v>16</v>
      </c>
      <c r="G49" s="18">
        <f>Raw_Export_Clean!G49</f>
        <v>16.64</v>
      </c>
      <c r="H49" s="18">
        <f t="shared" si="3"/>
        <v>0.64000000000000057</v>
      </c>
      <c r="I49" s="19">
        <f t="shared" si="4"/>
        <v>4.0000000000000036E-2</v>
      </c>
      <c r="J49" s="20" t="str">
        <f t="shared" si="5"/>
        <v>AMBER</v>
      </c>
      <c r="K49" s="18">
        <f>SUMPRODUCT((B$4:B49=B49)*(E$4:E49=E49)*H$4:H49)</f>
        <v>3.1800000000000015</v>
      </c>
    </row>
    <row r="50" spans="1:11" ht="15" customHeight="1" x14ac:dyDescent="0.45">
      <c r="A50" s="13" t="str">
        <f>Raw_Export_Clean!A50</f>
        <v>Sep-22</v>
      </c>
      <c r="B50" s="13" t="str">
        <f>Raw_Export_Clean!B50</f>
        <v>FY23</v>
      </c>
      <c r="C50" s="13" t="str">
        <f>Raw_Export_Clean!C50</f>
        <v>Q2</v>
      </c>
      <c r="D50" s="13" t="str">
        <f>Raw_Export_Clean!D50</f>
        <v>Cost</v>
      </c>
      <c r="E50" s="13" t="str">
        <f>Raw_Export_Clean!E50</f>
        <v>HR</v>
      </c>
      <c r="F50" s="14">
        <f>Raw_Export_Clean!F50</f>
        <v>12</v>
      </c>
      <c r="G50" s="14">
        <f>Raw_Export_Clean!G50</f>
        <v>12.36</v>
      </c>
      <c r="H50" s="14">
        <f t="shared" si="3"/>
        <v>0.35999999999999943</v>
      </c>
      <c r="I50" s="15">
        <f t="shared" si="4"/>
        <v>2.9999999999999954E-2</v>
      </c>
      <c r="J50" s="20" t="str">
        <f t="shared" si="5"/>
        <v>AMBER</v>
      </c>
      <c r="K50" s="14">
        <f>SUMPRODUCT((B$4:B50=B50)*(E$4:E50=E50)*H$4:H50)</f>
        <v>1.9300000000000015</v>
      </c>
    </row>
    <row r="51" spans="1:11" ht="15" customHeight="1" x14ac:dyDescent="0.45">
      <c r="A51" s="17" t="str">
        <f>Raw_Export_Clean!A51</f>
        <v>Sep-22</v>
      </c>
      <c r="B51" s="17" t="str">
        <f>Raw_Export_Clean!B51</f>
        <v>FY23</v>
      </c>
      <c r="C51" s="17" t="str">
        <f>Raw_Export_Clean!C51</f>
        <v>Q2</v>
      </c>
      <c r="D51" s="17" t="str">
        <f>Raw_Export_Clean!D51</f>
        <v>Cost</v>
      </c>
      <c r="E51" s="17" t="str">
        <f>Raw_Export_Clean!E51</f>
        <v>Finance &amp; Admin</v>
      </c>
      <c r="F51" s="18">
        <f>Raw_Export_Clean!F51</f>
        <v>8</v>
      </c>
      <c r="G51" s="18">
        <f>Raw_Export_Clean!G51</f>
        <v>8</v>
      </c>
      <c r="H51" s="18">
        <f t="shared" si="3"/>
        <v>0</v>
      </c>
      <c r="I51" s="19">
        <f t="shared" si="4"/>
        <v>0</v>
      </c>
      <c r="J51" s="20" t="str">
        <f t="shared" si="5"/>
        <v>AMBER</v>
      </c>
      <c r="K51" s="18">
        <f>SUMPRODUCT((B$4:B51=B51)*(E$4:E51=E51)*H$4:H51)</f>
        <v>0.38000000000000078</v>
      </c>
    </row>
    <row r="52" spans="1:11" ht="15" customHeight="1" x14ac:dyDescent="0.45">
      <c r="A52" s="13" t="str">
        <f>Raw_Export_Clean!A52</f>
        <v>Oct-22</v>
      </c>
      <c r="B52" s="13" t="str">
        <f>Raw_Export_Clean!B52</f>
        <v>FY23</v>
      </c>
      <c r="C52" s="13" t="str">
        <f>Raw_Export_Clean!C52</f>
        <v>Q3</v>
      </c>
      <c r="D52" s="13" t="str">
        <f>Raw_Export_Clean!D52</f>
        <v>Revenue</v>
      </c>
      <c r="E52" s="13" t="str">
        <f>Raw_Export_Clean!E52</f>
        <v>Product A</v>
      </c>
      <c r="F52" s="14">
        <f>Raw_Export_Clean!F52</f>
        <v>125</v>
      </c>
      <c r="G52" s="14">
        <f>Raw_Export_Clean!G52</f>
        <v>130</v>
      </c>
      <c r="H52" s="14">
        <f t="shared" si="3"/>
        <v>5</v>
      </c>
      <c r="I52" s="15">
        <f t="shared" si="4"/>
        <v>0.04</v>
      </c>
      <c r="J52" s="16" t="str">
        <f t="shared" si="5"/>
        <v>GREEN</v>
      </c>
      <c r="K52" s="14">
        <f>SUMPRODUCT((B$4:B52=B52)*(E$4:E52=E52)*H$4:H52)</f>
        <v>16.25</v>
      </c>
    </row>
    <row r="53" spans="1:11" ht="15" customHeight="1" x14ac:dyDescent="0.45">
      <c r="A53" s="17" t="str">
        <f>Raw_Export_Clean!A53</f>
        <v>Oct-22</v>
      </c>
      <c r="B53" s="17" t="str">
        <f>Raw_Export_Clean!B53</f>
        <v>FY23</v>
      </c>
      <c r="C53" s="17" t="str">
        <f>Raw_Export_Clean!C53</f>
        <v>Q3</v>
      </c>
      <c r="D53" s="17" t="str">
        <f>Raw_Export_Clean!D53</f>
        <v>Revenue</v>
      </c>
      <c r="E53" s="17" t="str">
        <f>Raw_Export_Clean!E53</f>
        <v>Product B</v>
      </c>
      <c r="F53" s="18">
        <f>Raw_Export_Clean!F53</f>
        <v>75</v>
      </c>
      <c r="G53" s="18">
        <f>Raw_Export_Clean!G53</f>
        <v>70.5</v>
      </c>
      <c r="H53" s="18">
        <f t="shared" si="3"/>
        <v>-4.5</v>
      </c>
      <c r="I53" s="19">
        <f t="shared" si="4"/>
        <v>-0.06</v>
      </c>
      <c r="J53" s="21" t="str">
        <f t="shared" si="5"/>
        <v>RED</v>
      </c>
      <c r="K53" s="18">
        <f>SUMPRODUCT((B$4:B53=B53)*(E$4:E53=E53)*H$4:H53)</f>
        <v>-24.369999999999997</v>
      </c>
    </row>
    <row r="54" spans="1:11" ht="15" customHeight="1" x14ac:dyDescent="0.45">
      <c r="A54" s="13" t="str">
        <f>Raw_Export_Clean!A54</f>
        <v>Oct-22</v>
      </c>
      <c r="B54" s="13" t="str">
        <f>Raw_Export_Clean!B54</f>
        <v>FY23</v>
      </c>
      <c r="C54" s="13" t="str">
        <f>Raw_Export_Clean!C54</f>
        <v>Q3</v>
      </c>
      <c r="D54" s="13" t="str">
        <f>Raw_Export_Clean!D54</f>
        <v>Revenue</v>
      </c>
      <c r="E54" s="13" t="str">
        <f>Raw_Export_Clean!E54</f>
        <v>Services</v>
      </c>
      <c r="F54" s="14">
        <f>Raw_Export_Clean!F54</f>
        <v>50</v>
      </c>
      <c r="G54" s="14">
        <f>Raw_Export_Clean!G54</f>
        <v>54.5</v>
      </c>
      <c r="H54" s="14">
        <f t="shared" si="3"/>
        <v>4.5</v>
      </c>
      <c r="I54" s="15">
        <f t="shared" si="4"/>
        <v>0.09</v>
      </c>
      <c r="J54" s="16" t="str">
        <f t="shared" si="5"/>
        <v>GREEN</v>
      </c>
      <c r="K54" s="14">
        <f>SUMPRODUCT((B$4:B54=B54)*(E$4:E54=E54)*H$4:H54)</f>
        <v>18.149999999999999</v>
      </c>
    </row>
    <row r="55" spans="1:11" ht="15" customHeight="1" x14ac:dyDescent="0.45">
      <c r="A55" s="17" t="str">
        <f>Raw_Export_Clean!A55</f>
        <v>Oct-22</v>
      </c>
      <c r="B55" s="17" t="str">
        <f>Raw_Export_Clean!B55</f>
        <v>FY23</v>
      </c>
      <c r="C55" s="17" t="str">
        <f>Raw_Export_Clean!C55</f>
        <v>Q3</v>
      </c>
      <c r="D55" s="17" t="str">
        <f>Raw_Export_Clean!D55</f>
        <v>Cost</v>
      </c>
      <c r="E55" s="17" t="str">
        <f>Raw_Export_Clean!E55</f>
        <v>Operations</v>
      </c>
      <c r="F55" s="18">
        <f>Raw_Export_Clean!F55</f>
        <v>112.5</v>
      </c>
      <c r="G55" s="18">
        <f>Raw_Export_Clean!G55</f>
        <v>117</v>
      </c>
      <c r="H55" s="18">
        <f t="shared" si="3"/>
        <v>4.5</v>
      </c>
      <c r="I55" s="19">
        <f t="shared" si="4"/>
        <v>0.04</v>
      </c>
      <c r="J55" s="20" t="str">
        <f t="shared" si="5"/>
        <v>AMBER</v>
      </c>
      <c r="K55" s="18">
        <f>SUMPRODUCT((B$4:B55=B55)*(E$4:E55=E55)*H$4:H55)</f>
        <v>20.819999999999993</v>
      </c>
    </row>
    <row r="56" spans="1:11" ht="15" customHeight="1" x14ac:dyDescent="0.45">
      <c r="A56" s="13" t="str">
        <f>Raw_Export_Clean!A56</f>
        <v>Oct-22</v>
      </c>
      <c r="B56" s="13" t="str">
        <f>Raw_Export_Clean!B56</f>
        <v>FY23</v>
      </c>
      <c r="C56" s="13" t="str">
        <f>Raw_Export_Clean!C56</f>
        <v>Q3</v>
      </c>
      <c r="D56" s="13" t="str">
        <f>Raw_Export_Clean!D56</f>
        <v>Cost</v>
      </c>
      <c r="E56" s="13" t="str">
        <f>Raw_Export_Clean!E56</f>
        <v>Sales</v>
      </c>
      <c r="F56" s="14">
        <f>Raw_Export_Clean!F56</f>
        <v>25</v>
      </c>
      <c r="G56" s="14">
        <f>Raw_Export_Clean!G56</f>
        <v>25.75</v>
      </c>
      <c r="H56" s="14">
        <f t="shared" si="3"/>
        <v>0.75</v>
      </c>
      <c r="I56" s="15">
        <f t="shared" si="4"/>
        <v>0.03</v>
      </c>
      <c r="J56" s="20" t="str">
        <f t="shared" si="5"/>
        <v>AMBER</v>
      </c>
      <c r="K56" s="14">
        <f>SUMPRODUCT((B$4:B56=B56)*(E$4:E56=E56)*H$4:H56)</f>
        <v>1.3000000000000007</v>
      </c>
    </row>
    <row r="57" spans="1:11" ht="15" customHeight="1" x14ac:dyDescent="0.45">
      <c r="A57" s="17" t="str">
        <f>Raw_Export_Clean!A57</f>
        <v>Oct-22</v>
      </c>
      <c r="B57" s="17" t="str">
        <f>Raw_Export_Clean!B57</f>
        <v>FY23</v>
      </c>
      <c r="C57" s="17" t="str">
        <f>Raw_Export_Clean!C57</f>
        <v>Q3</v>
      </c>
      <c r="D57" s="17" t="str">
        <f>Raw_Export_Clean!D57</f>
        <v>Cost</v>
      </c>
      <c r="E57" s="17" t="str">
        <f>Raw_Export_Clean!E57</f>
        <v>Marketing</v>
      </c>
      <c r="F57" s="18">
        <f>Raw_Export_Clean!F57</f>
        <v>20</v>
      </c>
      <c r="G57" s="18">
        <f>Raw_Export_Clean!G57</f>
        <v>20.399999999999999</v>
      </c>
      <c r="H57" s="18">
        <f t="shared" si="3"/>
        <v>0.39999999999999858</v>
      </c>
      <c r="I57" s="19">
        <f t="shared" si="4"/>
        <v>1.9999999999999928E-2</v>
      </c>
      <c r="J57" s="20" t="str">
        <f t="shared" si="5"/>
        <v>AMBER</v>
      </c>
      <c r="K57" s="18">
        <f>SUMPRODUCT((B$4:B57=B57)*(E$4:E57=E57)*H$4:H57)</f>
        <v>3.58</v>
      </c>
    </row>
    <row r="58" spans="1:11" ht="15" customHeight="1" x14ac:dyDescent="0.45">
      <c r="A58" s="13" t="str">
        <f>Raw_Export_Clean!A58</f>
        <v>Oct-22</v>
      </c>
      <c r="B58" s="13" t="str">
        <f>Raw_Export_Clean!B58</f>
        <v>FY23</v>
      </c>
      <c r="C58" s="13" t="str">
        <f>Raw_Export_Clean!C58</f>
        <v>Q3</v>
      </c>
      <c r="D58" s="13" t="str">
        <f>Raw_Export_Clean!D58</f>
        <v>Cost</v>
      </c>
      <c r="E58" s="13" t="str">
        <f>Raw_Export_Clean!E58</f>
        <v>HR</v>
      </c>
      <c r="F58" s="14">
        <f>Raw_Export_Clean!F58</f>
        <v>15</v>
      </c>
      <c r="G58" s="14">
        <f>Raw_Export_Clean!G58</f>
        <v>15.6</v>
      </c>
      <c r="H58" s="14">
        <f t="shared" si="3"/>
        <v>0.59999999999999964</v>
      </c>
      <c r="I58" s="15">
        <f t="shared" si="4"/>
        <v>3.9999999999999973E-2</v>
      </c>
      <c r="J58" s="20" t="str">
        <f t="shared" si="5"/>
        <v>AMBER</v>
      </c>
      <c r="K58" s="14">
        <f>SUMPRODUCT((B$4:B58=B58)*(E$4:E58=E58)*H$4:H58)</f>
        <v>2.5300000000000011</v>
      </c>
    </row>
    <row r="59" spans="1:11" ht="15" customHeight="1" x14ac:dyDescent="0.45">
      <c r="A59" s="17" t="str">
        <f>Raw_Export_Clean!A59</f>
        <v>Oct-22</v>
      </c>
      <c r="B59" s="17" t="str">
        <f>Raw_Export_Clean!B59</f>
        <v>FY23</v>
      </c>
      <c r="C59" s="17" t="str">
        <f>Raw_Export_Clean!C59</f>
        <v>Q3</v>
      </c>
      <c r="D59" s="17" t="str">
        <f>Raw_Export_Clean!D59</f>
        <v>Cost</v>
      </c>
      <c r="E59" s="17" t="str">
        <f>Raw_Export_Clean!E59</f>
        <v>Finance &amp; Admin</v>
      </c>
      <c r="F59" s="18">
        <f>Raw_Export_Clean!F59</f>
        <v>10</v>
      </c>
      <c r="G59" s="18">
        <f>Raw_Export_Clean!G59</f>
        <v>10.1</v>
      </c>
      <c r="H59" s="18">
        <f t="shared" si="3"/>
        <v>9.9999999999999645E-2</v>
      </c>
      <c r="I59" s="19">
        <f t="shared" si="4"/>
        <v>9.9999999999999638E-3</v>
      </c>
      <c r="J59" s="20" t="str">
        <f t="shared" si="5"/>
        <v>AMBER</v>
      </c>
      <c r="K59" s="18">
        <f>SUMPRODUCT((B$4:B59=B59)*(E$4:E59=E59)*H$4:H59)</f>
        <v>0.48000000000000043</v>
      </c>
    </row>
    <row r="60" spans="1:11" ht="15" customHeight="1" x14ac:dyDescent="0.45">
      <c r="A60" s="13" t="str">
        <f>Raw_Export_Clean!A60</f>
        <v>Nov-22</v>
      </c>
      <c r="B60" s="13" t="str">
        <f>Raw_Export_Clean!B60</f>
        <v>FY23</v>
      </c>
      <c r="C60" s="13" t="str">
        <f>Raw_Export_Clean!C60</f>
        <v>Q3</v>
      </c>
      <c r="D60" s="13" t="str">
        <f>Raw_Export_Clean!D60</f>
        <v>Revenue</v>
      </c>
      <c r="E60" s="13" t="str">
        <f>Raw_Export_Clean!E60</f>
        <v>Product A</v>
      </c>
      <c r="F60" s="14">
        <f>Raw_Export_Clean!F60</f>
        <v>137.5</v>
      </c>
      <c r="G60" s="14">
        <f>Raw_Export_Clean!G60</f>
        <v>144.38</v>
      </c>
      <c r="H60" s="14">
        <f t="shared" si="3"/>
        <v>6.8799999999999955</v>
      </c>
      <c r="I60" s="15">
        <f t="shared" si="4"/>
        <v>5.0036363636363601E-2</v>
      </c>
      <c r="J60" s="16" t="str">
        <f t="shared" si="5"/>
        <v>GREEN</v>
      </c>
      <c r="K60" s="14">
        <f>SUMPRODUCT((B$4:B60=B60)*(E$4:E60=E60)*H$4:H60)</f>
        <v>23.129999999999995</v>
      </c>
    </row>
    <row r="61" spans="1:11" ht="15" customHeight="1" x14ac:dyDescent="0.45">
      <c r="A61" s="17" t="str">
        <f>Raw_Export_Clean!A61</f>
        <v>Nov-22</v>
      </c>
      <c r="B61" s="17" t="str">
        <f>Raw_Export_Clean!B61</f>
        <v>FY23</v>
      </c>
      <c r="C61" s="17" t="str">
        <f>Raw_Export_Clean!C61</f>
        <v>Q3</v>
      </c>
      <c r="D61" s="17" t="str">
        <f>Raw_Export_Clean!D61</f>
        <v>Revenue</v>
      </c>
      <c r="E61" s="17" t="str">
        <f>Raw_Export_Clean!E61</f>
        <v>Product B</v>
      </c>
      <c r="F61" s="18">
        <f>Raw_Export_Clean!F61</f>
        <v>82.5</v>
      </c>
      <c r="G61" s="18">
        <f>Raw_Export_Clean!G61</f>
        <v>76.72</v>
      </c>
      <c r="H61" s="18">
        <f t="shared" si="3"/>
        <v>-5.7800000000000011</v>
      </c>
      <c r="I61" s="19">
        <f t="shared" si="4"/>
        <v>-7.0060606060606073E-2</v>
      </c>
      <c r="J61" s="21" t="str">
        <f t="shared" si="5"/>
        <v>RED</v>
      </c>
      <c r="K61" s="18">
        <f>SUMPRODUCT((B$4:B61=B61)*(E$4:E61=E61)*H$4:H61)</f>
        <v>-30.15</v>
      </c>
    </row>
    <row r="62" spans="1:11" ht="15" customHeight="1" x14ac:dyDescent="0.45">
      <c r="A62" s="13" t="str">
        <f>Raw_Export_Clean!A62</f>
        <v>Nov-22</v>
      </c>
      <c r="B62" s="13" t="str">
        <f>Raw_Export_Clean!B62</f>
        <v>FY23</v>
      </c>
      <c r="C62" s="13" t="str">
        <f>Raw_Export_Clean!C62</f>
        <v>Q3</v>
      </c>
      <c r="D62" s="13" t="str">
        <f>Raw_Export_Clean!D62</f>
        <v>Revenue</v>
      </c>
      <c r="E62" s="13" t="str">
        <f>Raw_Export_Clean!E62</f>
        <v>Services</v>
      </c>
      <c r="F62" s="14">
        <f>Raw_Export_Clean!F62</f>
        <v>55</v>
      </c>
      <c r="G62" s="14">
        <f>Raw_Export_Clean!G62</f>
        <v>60.5</v>
      </c>
      <c r="H62" s="14">
        <f t="shared" si="3"/>
        <v>5.5</v>
      </c>
      <c r="I62" s="15">
        <f t="shared" si="4"/>
        <v>0.1</v>
      </c>
      <c r="J62" s="16" t="str">
        <f t="shared" si="5"/>
        <v>GREEN</v>
      </c>
      <c r="K62" s="14">
        <f>SUMPRODUCT((B$4:B62=B62)*(E$4:E62=E62)*H$4:H62)</f>
        <v>23.65</v>
      </c>
    </row>
    <row r="63" spans="1:11" ht="15" customHeight="1" x14ac:dyDescent="0.45">
      <c r="A63" s="17" t="str">
        <f>Raw_Export_Clean!A63</f>
        <v>Nov-22</v>
      </c>
      <c r="B63" s="17" t="str">
        <f>Raw_Export_Clean!B63</f>
        <v>FY23</v>
      </c>
      <c r="C63" s="17" t="str">
        <f>Raw_Export_Clean!C63</f>
        <v>Q3</v>
      </c>
      <c r="D63" s="17" t="str">
        <f>Raw_Export_Clean!D63</f>
        <v>Cost</v>
      </c>
      <c r="E63" s="17" t="str">
        <f>Raw_Export_Clean!E63</f>
        <v>Operations</v>
      </c>
      <c r="F63" s="18">
        <f>Raw_Export_Clean!F63</f>
        <v>123.75</v>
      </c>
      <c r="G63" s="18">
        <f>Raw_Export_Clean!G63</f>
        <v>131.18</v>
      </c>
      <c r="H63" s="18">
        <f t="shared" si="3"/>
        <v>7.4300000000000068</v>
      </c>
      <c r="I63" s="19">
        <f t="shared" si="4"/>
        <v>6.0040404040404095E-2</v>
      </c>
      <c r="J63" s="21" t="str">
        <f t="shared" si="5"/>
        <v>RED</v>
      </c>
      <c r="K63" s="18">
        <f>SUMPRODUCT((B$4:B63=B63)*(E$4:E63=E63)*H$4:H63)</f>
        <v>28.25</v>
      </c>
    </row>
    <row r="64" spans="1:11" ht="15" customHeight="1" x14ac:dyDescent="0.45">
      <c r="A64" s="13" t="str">
        <f>Raw_Export_Clean!A64</f>
        <v>Nov-22</v>
      </c>
      <c r="B64" s="13" t="str">
        <f>Raw_Export_Clean!B64</f>
        <v>FY23</v>
      </c>
      <c r="C64" s="13" t="str">
        <f>Raw_Export_Clean!C64</f>
        <v>Q3</v>
      </c>
      <c r="D64" s="13" t="str">
        <f>Raw_Export_Clean!D64</f>
        <v>Cost</v>
      </c>
      <c r="E64" s="13" t="str">
        <f>Raw_Export_Clean!E64</f>
        <v>Sales</v>
      </c>
      <c r="F64" s="14">
        <f>Raw_Export_Clean!F64</f>
        <v>27.5</v>
      </c>
      <c r="G64" s="14">
        <f>Raw_Export_Clean!G64</f>
        <v>28.05</v>
      </c>
      <c r="H64" s="14">
        <f t="shared" si="3"/>
        <v>0.55000000000000071</v>
      </c>
      <c r="I64" s="15">
        <f t="shared" si="4"/>
        <v>2.0000000000000025E-2</v>
      </c>
      <c r="J64" s="20" t="str">
        <f t="shared" si="5"/>
        <v>AMBER</v>
      </c>
      <c r="K64" s="14">
        <f>SUMPRODUCT((B$4:B64=B64)*(E$4:E64=E64)*H$4:H64)</f>
        <v>1.8500000000000014</v>
      </c>
    </row>
    <row r="65" spans="1:11" ht="15" customHeight="1" x14ac:dyDescent="0.45">
      <c r="A65" s="17" t="str">
        <f>Raw_Export_Clean!A65</f>
        <v>Nov-22</v>
      </c>
      <c r="B65" s="17" t="str">
        <f>Raw_Export_Clean!B65</f>
        <v>FY23</v>
      </c>
      <c r="C65" s="17" t="str">
        <f>Raw_Export_Clean!C65</f>
        <v>Q3</v>
      </c>
      <c r="D65" s="17" t="str">
        <f>Raw_Export_Clean!D65</f>
        <v>Cost</v>
      </c>
      <c r="E65" s="17" t="str">
        <f>Raw_Export_Clean!E65</f>
        <v>Marketing</v>
      </c>
      <c r="F65" s="18">
        <f>Raw_Export_Clean!F65</f>
        <v>22</v>
      </c>
      <c r="G65" s="18">
        <f>Raw_Export_Clean!G65</f>
        <v>22.66</v>
      </c>
      <c r="H65" s="18">
        <f t="shared" si="3"/>
        <v>0.66000000000000014</v>
      </c>
      <c r="I65" s="19">
        <f t="shared" si="4"/>
        <v>3.0000000000000006E-2</v>
      </c>
      <c r="J65" s="20" t="str">
        <f t="shared" si="5"/>
        <v>AMBER</v>
      </c>
      <c r="K65" s="18">
        <f>SUMPRODUCT((B$4:B65=B65)*(E$4:E65=E65)*H$4:H65)</f>
        <v>4.24</v>
      </c>
    </row>
    <row r="66" spans="1:11" ht="15" customHeight="1" x14ac:dyDescent="0.45">
      <c r="A66" s="13" t="str">
        <f>Raw_Export_Clean!A66</f>
        <v>Nov-22</v>
      </c>
      <c r="B66" s="13" t="str">
        <f>Raw_Export_Clean!B66</f>
        <v>FY23</v>
      </c>
      <c r="C66" s="13" t="str">
        <f>Raw_Export_Clean!C66</f>
        <v>Q3</v>
      </c>
      <c r="D66" s="13" t="str">
        <f>Raw_Export_Clean!D66</f>
        <v>Cost</v>
      </c>
      <c r="E66" s="13" t="str">
        <f>Raw_Export_Clean!E66</f>
        <v>HR</v>
      </c>
      <c r="F66" s="14">
        <f>Raw_Export_Clean!F66</f>
        <v>16.5</v>
      </c>
      <c r="G66" s="14">
        <f>Raw_Export_Clean!G66</f>
        <v>17.32</v>
      </c>
      <c r="H66" s="14">
        <f t="shared" si="3"/>
        <v>0.82000000000000028</v>
      </c>
      <c r="I66" s="15">
        <f t="shared" si="4"/>
        <v>4.9696969696969712E-2</v>
      </c>
      <c r="J66" s="20" t="str">
        <f t="shared" si="5"/>
        <v>AMBER</v>
      </c>
      <c r="K66" s="14">
        <f>SUMPRODUCT((B$4:B66=B66)*(E$4:E66=E66)*H$4:H66)</f>
        <v>3.3500000000000014</v>
      </c>
    </row>
    <row r="67" spans="1:11" ht="15" customHeight="1" x14ac:dyDescent="0.45">
      <c r="A67" s="17" t="str">
        <f>Raw_Export_Clean!A67</f>
        <v>Nov-22</v>
      </c>
      <c r="B67" s="17" t="str">
        <f>Raw_Export_Clean!B67</f>
        <v>FY23</v>
      </c>
      <c r="C67" s="17" t="str">
        <f>Raw_Export_Clean!C67</f>
        <v>Q3</v>
      </c>
      <c r="D67" s="17" t="str">
        <f>Raw_Export_Clean!D67</f>
        <v>Cost</v>
      </c>
      <c r="E67" s="17" t="str">
        <f>Raw_Export_Clean!E67</f>
        <v>Finance &amp; Admin</v>
      </c>
      <c r="F67" s="18">
        <f>Raw_Export_Clean!F67</f>
        <v>11</v>
      </c>
      <c r="G67" s="18">
        <f>Raw_Export_Clean!G67</f>
        <v>11.22</v>
      </c>
      <c r="H67" s="18">
        <f t="shared" si="3"/>
        <v>0.22000000000000064</v>
      </c>
      <c r="I67" s="19">
        <f t="shared" si="4"/>
        <v>2.0000000000000059E-2</v>
      </c>
      <c r="J67" s="20" t="str">
        <f t="shared" si="5"/>
        <v>AMBER</v>
      </c>
      <c r="K67" s="18">
        <f>SUMPRODUCT((B$4:B67=B67)*(E$4:E67=E67)*H$4:H67)</f>
        <v>0.70000000000000107</v>
      </c>
    </row>
    <row r="68" spans="1:11" ht="15" customHeight="1" x14ac:dyDescent="0.45">
      <c r="A68" s="13" t="str">
        <f>Raw_Export_Clean!A68</f>
        <v>Dec-22</v>
      </c>
      <c r="B68" s="13" t="str">
        <f>Raw_Export_Clean!B68</f>
        <v>FY23</v>
      </c>
      <c r="C68" s="13" t="str">
        <f>Raw_Export_Clean!C68</f>
        <v>Q3</v>
      </c>
      <c r="D68" s="13" t="str">
        <f>Raw_Export_Clean!D68</f>
        <v>Revenue</v>
      </c>
      <c r="E68" s="13" t="str">
        <f>Raw_Export_Clean!E68</f>
        <v>Product A</v>
      </c>
      <c r="F68" s="14">
        <f>Raw_Export_Clean!F68</f>
        <v>125</v>
      </c>
      <c r="G68" s="14">
        <f>Raw_Export_Clean!G68</f>
        <v>128.75</v>
      </c>
      <c r="H68" s="14">
        <f t="shared" ref="H68:H99" si="6">G68-F68</f>
        <v>3.75</v>
      </c>
      <c r="I68" s="15">
        <f t="shared" ref="I68:I99" si="7">IF(F68&lt;&gt;0,(G68-F68)/F68,0)</f>
        <v>0.03</v>
      </c>
      <c r="J68" s="16" t="str">
        <f t="shared" ref="J68:J99" si="8">IF(D68="Revenue",IF(I68&gt;=0.02,"GREEN",IF(I68&gt;=-0.05,"AMBER","RED")),IF(I68&lt;=-0.02,"GREEN",IF(I68&lt;=0.05,"AMBER","RED")))</f>
        <v>GREEN</v>
      </c>
      <c r="K68" s="14">
        <f>SUMPRODUCT((B$4:B68=B68)*(E$4:E68=E68)*H$4:H68)</f>
        <v>26.879999999999995</v>
      </c>
    </row>
    <row r="69" spans="1:11" ht="15" customHeight="1" x14ac:dyDescent="0.45">
      <c r="A69" s="17" t="str">
        <f>Raw_Export_Clean!A69</f>
        <v>Dec-22</v>
      </c>
      <c r="B69" s="17" t="str">
        <f>Raw_Export_Clean!B69</f>
        <v>FY23</v>
      </c>
      <c r="C69" s="17" t="str">
        <f>Raw_Export_Clean!C69</f>
        <v>Q3</v>
      </c>
      <c r="D69" s="17" t="str">
        <f>Raw_Export_Clean!D69</f>
        <v>Revenue</v>
      </c>
      <c r="E69" s="17" t="str">
        <f>Raw_Export_Clean!E69</f>
        <v>Product B</v>
      </c>
      <c r="F69" s="18">
        <f>Raw_Export_Clean!F69</f>
        <v>75</v>
      </c>
      <c r="G69" s="18">
        <f>Raw_Export_Clean!G69</f>
        <v>68.25</v>
      </c>
      <c r="H69" s="18">
        <f t="shared" si="6"/>
        <v>-6.75</v>
      </c>
      <c r="I69" s="19">
        <f t="shared" si="7"/>
        <v>-0.09</v>
      </c>
      <c r="J69" s="21" t="str">
        <f t="shared" si="8"/>
        <v>RED</v>
      </c>
      <c r="K69" s="18">
        <f>SUMPRODUCT((B$4:B69=B69)*(E$4:E69=E69)*H$4:H69)</f>
        <v>-36.9</v>
      </c>
    </row>
    <row r="70" spans="1:11" ht="15" customHeight="1" x14ac:dyDescent="0.45">
      <c r="A70" s="13" t="str">
        <f>Raw_Export_Clean!A70</f>
        <v>Dec-22</v>
      </c>
      <c r="B70" s="13" t="str">
        <f>Raw_Export_Clean!B70</f>
        <v>FY23</v>
      </c>
      <c r="C70" s="13" t="str">
        <f>Raw_Export_Clean!C70</f>
        <v>Q3</v>
      </c>
      <c r="D70" s="13" t="str">
        <f>Raw_Export_Clean!D70</f>
        <v>Revenue</v>
      </c>
      <c r="E70" s="13" t="str">
        <f>Raw_Export_Clean!E70</f>
        <v>Services</v>
      </c>
      <c r="F70" s="14">
        <f>Raw_Export_Clean!F70</f>
        <v>50</v>
      </c>
      <c r="G70" s="14">
        <f>Raw_Export_Clean!G70</f>
        <v>54</v>
      </c>
      <c r="H70" s="14">
        <f t="shared" si="6"/>
        <v>4</v>
      </c>
      <c r="I70" s="15">
        <f t="shared" si="7"/>
        <v>0.08</v>
      </c>
      <c r="J70" s="16" t="str">
        <f t="shared" si="8"/>
        <v>GREEN</v>
      </c>
      <c r="K70" s="14">
        <f>SUMPRODUCT((B$4:B70=B70)*(E$4:E70=E70)*H$4:H70)</f>
        <v>27.65</v>
      </c>
    </row>
    <row r="71" spans="1:11" ht="15" customHeight="1" x14ac:dyDescent="0.45">
      <c r="A71" s="17" t="str">
        <f>Raw_Export_Clean!A71</f>
        <v>Dec-22</v>
      </c>
      <c r="B71" s="17" t="str">
        <f>Raw_Export_Clean!B71</f>
        <v>FY23</v>
      </c>
      <c r="C71" s="17" t="str">
        <f>Raw_Export_Clean!C71</f>
        <v>Q3</v>
      </c>
      <c r="D71" s="17" t="str">
        <f>Raw_Export_Clean!D71</f>
        <v>Cost</v>
      </c>
      <c r="E71" s="17" t="str">
        <f>Raw_Export_Clean!E71</f>
        <v>Operations</v>
      </c>
      <c r="F71" s="18">
        <f>Raw_Export_Clean!F71</f>
        <v>112.5</v>
      </c>
      <c r="G71" s="18">
        <f>Raw_Export_Clean!G71</f>
        <v>118.12</v>
      </c>
      <c r="H71" s="18">
        <f t="shared" si="6"/>
        <v>5.6200000000000045</v>
      </c>
      <c r="I71" s="19">
        <f t="shared" si="7"/>
        <v>4.9955555555555593E-2</v>
      </c>
      <c r="J71" s="20" t="str">
        <f t="shared" si="8"/>
        <v>AMBER</v>
      </c>
      <c r="K71" s="18">
        <f>SUMPRODUCT((B$4:B71=B71)*(E$4:E71=E71)*H$4:H71)</f>
        <v>33.870000000000005</v>
      </c>
    </row>
    <row r="72" spans="1:11" ht="15" customHeight="1" x14ac:dyDescent="0.45">
      <c r="A72" s="13" t="str">
        <f>Raw_Export_Clean!A72</f>
        <v>Dec-22</v>
      </c>
      <c r="B72" s="13" t="str">
        <f>Raw_Export_Clean!B72</f>
        <v>FY23</v>
      </c>
      <c r="C72" s="13" t="str">
        <f>Raw_Export_Clean!C72</f>
        <v>Q3</v>
      </c>
      <c r="D72" s="13" t="str">
        <f>Raw_Export_Clean!D72</f>
        <v>Cost</v>
      </c>
      <c r="E72" s="13" t="str">
        <f>Raw_Export_Clean!E72</f>
        <v>Sales</v>
      </c>
      <c r="F72" s="14">
        <f>Raw_Export_Clean!F72</f>
        <v>25</v>
      </c>
      <c r="G72" s="14">
        <f>Raw_Export_Clean!G72</f>
        <v>24.75</v>
      </c>
      <c r="H72" s="14">
        <f t="shared" si="6"/>
        <v>-0.25</v>
      </c>
      <c r="I72" s="15">
        <f t="shared" si="7"/>
        <v>-0.01</v>
      </c>
      <c r="J72" s="20" t="str">
        <f t="shared" si="8"/>
        <v>AMBER</v>
      </c>
      <c r="K72" s="14">
        <f>SUMPRODUCT((B$4:B72=B72)*(E$4:E72=E72)*H$4:H72)</f>
        <v>1.6000000000000014</v>
      </c>
    </row>
    <row r="73" spans="1:11" ht="15" customHeight="1" x14ac:dyDescent="0.45">
      <c r="A73" s="17" t="str">
        <f>Raw_Export_Clean!A73</f>
        <v>Dec-22</v>
      </c>
      <c r="B73" s="17" t="str">
        <f>Raw_Export_Clean!B73</f>
        <v>FY23</v>
      </c>
      <c r="C73" s="17" t="str">
        <f>Raw_Export_Clean!C73</f>
        <v>Q3</v>
      </c>
      <c r="D73" s="17" t="str">
        <f>Raw_Export_Clean!D73</f>
        <v>Cost</v>
      </c>
      <c r="E73" s="17" t="str">
        <f>Raw_Export_Clean!E73</f>
        <v>Marketing</v>
      </c>
      <c r="F73" s="18">
        <f>Raw_Export_Clean!F73</f>
        <v>20</v>
      </c>
      <c r="G73" s="18">
        <f>Raw_Export_Clean!G73</f>
        <v>21</v>
      </c>
      <c r="H73" s="18">
        <f t="shared" si="6"/>
        <v>1</v>
      </c>
      <c r="I73" s="19">
        <f t="shared" si="7"/>
        <v>0.05</v>
      </c>
      <c r="J73" s="20" t="str">
        <f t="shared" si="8"/>
        <v>AMBER</v>
      </c>
      <c r="K73" s="18">
        <f>SUMPRODUCT((B$4:B73=B73)*(E$4:E73=E73)*H$4:H73)</f>
        <v>5.24</v>
      </c>
    </row>
    <row r="74" spans="1:11" ht="15" customHeight="1" x14ac:dyDescent="0.45">
      <c r="A74" s="13" t="str">
        <f>Raw_Export_Clean!A74</f>
        <v>Dec-22</v>
      </c>
      <c r="B74" s="13" t="str">
        <f>Raw_Export_Clean!B74</f>
        <v>FY23</v>
      </c>
      <c r="C74" s="13" t="str">
        <f>Raw_Export_Clean!C74</f>
        <v>Q3</v>
      </c>
      <c r="D74" s="13" t="str">
        <f>Raw_Export_Clean!D74</f>
        <v>Cost</v>
      </c>
      <c r="E74" s="13" t="str">
        <f>Raw_Export_Clean!E74</f>
        <v>HR</v>
      </c>
      <c r="F74" s="14">
        <f>Raw_Export_Clean!F74</f>
        <v>15</v>
      </c>
      <c r="G74" s="14">
        <f>Raw_Export_Clean!G74</f>
        <v>15.45</v>
      </c>
      <c r="H74" s="14">
        <f t="shared" si="6"/>
        <v>0.44999999999999929</v>
      </c>
      <c r="I74" s="15">
        <f t="shared" si="7"/>
        <v>2.9999999999999954E-2</v>
      </c>
      <c r="J74" s="20" t="str">
        <f t="shared" si="8"/>
        <v>AMBER</v>
      </c>
      <c r="K74" s="14">
        <f>SUMPRODUCT((B$4:B74=B74)*(E$4:E74=E74)*H$4:H74)</f>
        <v>3.8000000000000007</v>
      </c>
    </row>
    <row r="75" spans="1:11" ht="15" customHeight="1" x14ac:dyDescent="0.45">
      <c r="A75" s="17" t="str">
        <f>Raw_Export_Clean!A75</f>
        <v>Dec-22</v>
      </c>
      <c r="B75" s="17" t="str">
        <f>Raw_Export_Clean!B75</f>
        <v>FY23</v>
      </c>
      <c r="C75" s="17" t="str">
        <f>Raw_Export_Clean!C75</f>
        <v>Q3</v>
      </c>
      <c r="D75" s="17" t="str">
        <f>Raw_Export_Clean!D75</f>
        <v>Cost</v>
      </c>
      <c r="E75" s="17" t="str">
        <f>Raw_Export_Clean!E75</f>
        <v>Finance &amp; Admin</v>
      </c>
      <c r="F75" s="18">
        <f>Raw_Export_Clean!F75</f>
        <v>10</v>
      </c>
      <c r="G75" s="18">
        <f>Raw_Export_Clean!G75</f>
        <v>10.1</v>
      </c>
      <c r="H75" s="18">
        <f t="shared" si="6"/>
        <v>9.9999999999999645E-2</v>
      </c>
      <c r="I75" s="19">
        <f t="shared" si="7"/>
        <v>9.9999999999999638E-3</v>
      </c>
      <c r="J75" s="20" t="str">
        <f t="shared" si="8"/>
        <v>AMBER</v>
      </c>
      <c r="K75" s="18">
        <f>SUMPRODUCT((B$4:B75=B75)*(E$4:E75=E75)*H$4:H75)</f>
        <v>0.80000000000000071</v>
      </c>
    </row>
    <row r="76" spans="1:11" ht="15" customHeight="1" x14ac:dyDescent="0.45">
      <c r="A76" s="13" t="str">
        <f>Raw_Export_Clean!A76</f>
        <v>Jan-23</v>
      </c>
      <c r="B76" s="13" t="str">
        <f>Raw_Export_Clean!B76</f>
        <v>FY23</v>
      </c>
      <c r="C76" s="13" t="str">
        <f>Raw_Export_Clean!C76</f>
        <v>Q4</v>
      </c>
      <c r="D76" s="13" t="str">
        <f>Raw_Export_Clean!D76</f>
        <v>Revenue</v>
      </c>
      <c r="E76" s="13" t="str">
        <f>Raw_Export_Clean!E76</f>
        <v>Product A</v>
      </c>
      <c r="F76" s="14">
        <f>Raw_Export_Clean!F76</f>
        <v>112.5</v>
      </c>
      <c r="G76" s="14">
        <f>Raw_Export_Clean!G76</f>
        <v>117</v>
      </c>
      <c r="H76" s="14">
        <f t="shared" si="6"/>
        <v>4.5</v>
      </c>
      <c r="I76" s="15">
        <f t="shared" si="7"/>
        <v>0.04</v>
      </c>
      <c r="J76" s="16" t="str">
        <f t="shared" si="8"/>
        <v>GREEN</v>
      </c>
      <c r="K76" s="14">
        <f>SUMPRODUCT((B$4:B76=B76)*(E$4:E76=E76)*H$4:H76)</f>
        <v>31.379999999999995</v>
      </c>
    </row>
    <row r="77" spans="1:11" ht="15" customHeight="1" x14ac:dyDescent="0.45">
      <c r="A77" s="17" t="str">
        <f>Raw_Export_Clean!A77</f>
        <v>Jan-23</v>
      </c>
      <c r="B77" s="17" t="str">
        <f>Raw_Export_Clean!B77</f>
        <v>FY23</v>
      </c>
      <c r="C77" s="17" t="str">
        <f>Raw_Export_Clean!C77</f>
        <v>Q4</v>
      </c>
      <c r="D77" s="17" t="str">
        <f>Raw_Export_Clean!D77</f>
        <v>Revenue</v>
      </c>
      <c r="E77" s="17" t="str">
        <f>Raw_Export_Clean!E77</f>
        <v>Product B</v>
      </c>
      <c r="F77" s="18">
        <f>Raw_Export_Clean!F77</f>
        <v>67.5</v>
      </c>
      <c r="G77" s="18">
        <f>Raw_Export_Clean!G77</f>
        <v>62.1</v>
      </c>
      <c r="H77" s="18">
        <f t="shared" si="6"/>
        <v>-5.3999999999999986</v>
      </c>
      <c r="I77" s="19">
        <f t="shared" si="7"/>
        <v>-7.9999999999999974E-2</v>
      </c>
      <c r="J77" s="21" t="str">
        <f t="shared" si="8"/>
        <v>RED</v>
      </c>
      <c r="K77" s="18">
        <f>SUMPRODUCT((B$4:B77=B77)*(E$4:E77=E77)*H$4:H77)</f>
        <v>-42.3</v>
      </c>
    </row>
    <row r="78" spans="1:11" ht="15" customHeight="1" x14ac:dyDescent="0.45">
      <c r="A78" s="13" t="str">
        <f>Raw_Export_Clean!A78</f>
        <v>Jan-23</v>
      </c>
      <c r="B78" s="13" t="str">
        <f>Raw_Export_Clean!B78</f>
        <v>FY23</v>
      </c>
      <c r="C78" s="13" t="str">
        <f>Raw_Export_Clean!C78</f>
        <v>Q4</v>
      </c>
      <c r="D78" s="13" t="str">
        <f>Raw_Export_Clean!D78</f>
        <v>Revenue</v>
      </c>
      <c r="E78" s="13" t="str">
        <f>Raw_Export_Clean!E78</f>
        <v>Services</v>
      </c>
      <c r="F78" s="14">
        <f>Raw_Export_Clean!F78</f>
        <v>45</v>
      </c>
      <c r="G78" s="14">
        <f>Raw_Export_Clean!G78</f>
        <v>49.05</v>
      </c>
      <c r="H78" s="14">
        <f t="shared" si="6"/>
        <v>4.0499999999999972</v>
      </c>
      <c r="I78" s="15">
        <f t="shared" si="7"/>
        <v>8.9999999999999941E-2</v>
      </c>
      <c r="J78" s="16" t="str">
        <f t="shared" si="8"/>
        <v>GREEN</v>
      </c>
      <c r="K78" s="14">
        <f>SUMPRODUCT((B$4:B78=B78)*(E$4:E78=E78)*H$4:H78)</f>
        <v>31.699999999999996</v>
      </c>
    </row>
    <row r="79" spans="1:11" ht="15" customHeight="1" x14ac:dyDescent="0.45">
      <c r="A79" s="17" t="str">
        <f>Raw_Export_Clean!A79</f>
        <v>Jan-23</v>
      </c>
      <c r="B79" s="17" t="str">
        <f>Raw_Export_Clean!B79</f>
        <v>FY23</v>
      </c>
      <c r="C79" s="17" t="str">
        <f>Raw_Export_Clean!C79</f>
        <v>Q4</v>
      </c>
      <c r="D79" s="17" t="str">
        <f>Raw_Export_Clean!D79</f>
        <v>Cost</v>
      </c>
      <c r="E79" s="17" t="str">
        <f>Raw_Export_Clean!E79</f>
        <v>Operations</v>
      </c>
      <c r="F79" s="18">
        <f>Raw_Export_Clean!F79</f>
        <v>101.25</v>
      </c>
      <c r="G79" s="18">
        <f>Raw_Export_Clean!G79</f>
        <v>107.33</v>
      </c>
      <c r="H79" s="18">
        <f t="shared" si="6"/>
        <v>6.0799999999999983</v>
      </c>
      <c r="I79" s="19">
        <f t="shared" si="7"/>
        <v>6.0049382716049364E-2</v>
      </c>
      <c r="J79" s="21" t="str">
        <f t="shared" si="8"/>
        <v>RED</v>
      </c>
      <c r="K79" s="18">
        <f>SUMPRODUCT((B$4:B79=B79)*(E$4:E79=E79)*H$4:H79)</f>
        <v>39.950000000000003</v>
      </c>
    </row>
    <row r="80" spans="1:11" ht="15" customHeight="1" x14ac:dyDescent="0.45">
      <c r="A80" s="13" t="str">
        <f>Raw_Export_Clean!A80</f>
        <v>Jan-23</v>
      </c>
      <c r="B80" s="13" t="str">
        <f>Raw_Export_Clean!B80</f>
        <v>FY23</v>
      </c>
      <c r="C80" s="13" t="str">
        <f>Raw_Export_Clean!C80</f>
        <v>Q4</v>
      </c>
      <c r="D80" s="13" t="str">
        <f>Raw_Export_Clean!D80</f>
        <v>Cost</v>
      </c>
      <c r="E80" s="13" t="str">
        <f>Raw_Export_Clean!E80</f>
        <v>Sales</v>
      </c>
      <c r="F80" s="14">
        <f>Raw_Export_Clean!F80</f>
        <v>22.5</v>
      </c>
      <c r="G80" s="14">
        <f>Raw_Export_Clean!G80</f>
        <v>22.95</v>
      </c>
      <c r="H80" s="14">
        <f t="shared" si="6"/>
        <v>0.44999999999999929</v>
      </c>
      <c r="I80" s="15">
        <f t="shared" si="7"/>
        <v>1.9999999999999969E-2</v>
      </c>
      <c r="J80" s="20" t="str">
        <f t="shared" si="8"/>
        <v>AMBER</v>
      </c>
      <c r="K80" s="14">
        <f>SUMPRODUCT((B$4:B80=B80)*(E$4:E80=E80)*H$4:H80)</f>
        <v>2.0500000000000007</v>
      </c>
    </row>
    <row r="81" spans="1:11" ht="15" customHeight="1" x14ac:dyDescent="0.45">
      <c r="A81" s="17" t="str">
        <f>Raw_Export_Clean!A81</f>
        <v>Jan-23</v>
      </c>
      <c r="B81" s="17" t="str">
        <f>Raw_Export_Clean!B81</f>
        <v>FY23</v>
      </c>
      <c r="C81" s="17" t="str">
        <f>Raw_Export_Clean!C81</f>
        <v>Q4</v>
      </c>
      <c r="D81" s="17" t="str">
        <f>Raw_Export_Clean!D81</f>
        <v>Cost</v>
      </c>
      <c r="E81" s="17" t="str">
        <f>Raw_Export_Clean!E81</f>
        <v>Marketing</v>
      </c>
      <c r="F81" s="18">
        <f>Raw_Export_Clean!F81</f>
        <v>18</v>
      </c>
      <c r="G81" s="18">
        <f>Raw_Export_Clean!G81</f>
        <v>18.72</v>
      </c>
      <c r="H81" s="18">
        <f t="shared" si="6"/>
        <v>0.71999999999999886</v>
      </c>
      <c r="I81" s="19">
        <f t="shared" si="7"/>
        <v>3.9999999999999938E-2</v>
      </c>
      <c r="J81" s="20" t="str">
        <f t="shared" si="8"/>
        <v>AMBER</v>
      </c>
      <c r="K81" s="18">
        <f>SUMPRODUCT((B$4:B81=B81)*(E$4:E81=E81)*H$4:H81)</f>
        <v>5.9599999999999991</v>
      </c>
    </row>
    <row r="82" spans="1:11" ht="15" customHeight="1" x14ac:dyDescent="0.45">
      <c r="A82" s="13" t="str">
        <f>Raw_Export_Clean!A82</f>
        <v>Jan-23</v>
      </c>
      <c r="B82" s="13" t="str">
        <f>Raw_Export_Clean!B82</f>
        <v>FY23</v>
      </c>
      <c r="C82" s="13" t="str">
        <f>Raw_Export_Clean!C82</f>
        <v>Q4</v>
      </c>
      <c r="D82" s="13" t="str">
        <f>Raw_Export_Clean!D82</f>
        <v>Cost</v>
      </c>
      <c r="E82" s="13" t="str">
        <f>Raw_Export_Clean!E82</f>
        <v>HR</v>
      </c>
      <c r="F82" s="14">
        <f>Raw_Export_Clean!F82</f>
        <v>13.5</v>
      </c>
      <c r="G82" s="14">
        <f>Raw_Export_Clean!G82</f>
        <v>14.04</v>
      </c>
      <c r="H82" s="14">
        <f t="shared" si="6"/>
        <v>0.53999999999999915</v>
      </c>
      <c r="I82" s="15">
        <f t="shared" si="7"/>
        <v>3.9999999999999938E-2</v>
      </c>
      <c r="J82" s="20" t="str">
        <f t="shared" si="8"/>
        <v>AMBER</v>
      </c>
      <c r="K82" s="14">
        <f>SUMPRODUCT((B$4:B82=B82)*(E$4:E82=E82)*H$4:H82)</f>
        <v>4.34</v>
      </c>
    </row>
    <row r="83" spans="1:11" ht="15" customHeight="1" x14ac:dyDescent="0.45">
      <c r="A83" s="17" t="str">
        <f>Raw_Export_Clean!A83</f>
        <v>Jan-23</v>
      </c>
      <c r="B83" s="17" t="str">
        <f>Raw_Export_Clean!B83</f>
        <v>FY23</v>
      </c>
      <c r="C83" s="17" t="str">
        <f>Raw_Export_Clean!C83</f>
        <v>Q4</v>
      </c>
      <c r="D83" s="17" t="str">
        <f>Raw_Export_Clean!D83</f>
        <v>Cost</v>
      </c>
      <c r="E83" s="17" t="str">
        <f>Raw_Export_Clean!E83</f>
        <v>Finance &amp; Admin</v>
      </c>
      <c r="F83" s="18">
        <f>Raw_Export_Clean!F83</f>
        <v>9</v>
      </c>
      <c r="G83" s="18">
        <f>Raw_Export_Clean!G83</f>
        <v>9.09</v>
      </c>
      <c r="H83" s="18">
        <f t="shared" si="6"/>
        <v>8.9999999999999858E-2</v>
      </c>
      <c r="I83" s="19">
        <f t="shared" si="7"/>
        <v>9.9999999999999846E-3</v>
      </c>
      <c r="J83" s="20" t="str">
        <f t="shared" si="8"/>
        <v>AMBER</v>
      </c>
      <c r="K83" s="18">
        <f>SUMPRODUCT((B$4:B83=B83)*(E$4:E83=E83)*H$4:H83)</f>
        <v>0.89000000000000057</v>
      </c>
    </row>
    <row r="84" spans="1:11" ht="15" customHeight="1" x14ac:dyDescent="0.45">
      <c r="A84" s="13" t="str">
        <f>Raw_Export_Clean!A84</f>
        <v>Feb-23</v>
      </c>
      <c r="B84" s="13" t="str">
        <f>Raw_Export_Clean!B84</f>
        <v>FY23</v>
      </c>
      <c r="C84" s="13" t="str">
        <f>Raw_Export_Clean!C84</f>
        <v>Q4</v>
      </c>
      <c r="D84" s="13" t="str">
        <f>Raw_Export_Clean!D84</f>
        <v>Revenue</v>
      </c>
      <c r="E84" s="13" t="str">
        <f>Raw_Export_Clean!E84</f>
        <v>Product A</v>
      </c>
      <c r="F84" s="14">
        <f>Raw_Export_Clean!F84</f>
        <v>100</v>
      </c>
      <c r="G84" s="14">
        <f>Raw_Export_Clean!G84</f>
        <v>103</v>
      </c>
      <c r="H84" s="14">
        <f t="shared" si="6"/>
        <v>3</v>
      </c>
      <c r="I84" s="15">
        <f t="shared" si="7"/>
        <v>0.03</v>
      </c>
      <c r="J84" s="16" t="str">
        <f t="shared" si="8"/>
        <v>GREEN</v>
      </c>
      <c r="K84" s="14">
        <f>SUMPRODUCT((B$4:B84=B84)*(E$4:E84=E84)*H$4:H84)</f>
        <v>34.379999999999995</v>
      </c>
    </row>
    <row r="85" spans="1:11" ht="15" customHeight="1" x14ac:dyDescent="0.45">
      <c r="A85" s="17" t="str">
        <f>Raw_Export_Clean!A85</f>
        <v>Feb-23</v>
      </c>
      <c r="B85" s="17" t="str">
        <f>Raw_Export_Clean!B85</f>
        <v>FY23</v>
      </c>
      <c r="C85" s="17" t="str">
        <f>Raw_Export_Clean!C85</f>
        <v>Q4</v>
      </c>
      <c r="D85" s="17" t="str">
        <f>Raw_Export_Clean!D85</f>
        <v>Revenue</v>
      </c>
      <c r="E85" s="17" t="str">
        <f>Raw_Export_Clean!E85</f>
        <v>Product B</v>
      </c>
      <c r="F85" s="18">
        <f>Raw_Export_Clean!F85</f>
        <v>60</v>
      </c>
      <c r="G85" s="18">
        <f>Raw_Export_Clean!G85</f>
        <v>54</v>
      </c>
      <c r="H85" s="18">
        <f t="shared" si="6"/>
        <v>-6</v>
      </c>
      <c r="I85" s="19">
        <f t="shared" si="7"/>
        <v>-0.1</v>
      </c>
      <c r="J85" s="21" t="str">
        <f t="shared" si="8"/>
        <v>RED</v>
      </c>
      <c r="K85" s="18">
        <f>SUMPRODUCT((B$4:B85=B85)*(E$4:E85=E85)*H$4:H85)</f>
        <v>-48.3</v>
      </c>
    </row>
    <row r="86" spans="1:11" ht="15" customHeight="1" x14ac:dyDescent="0.45">
      <c r="A86" s="13" t="str">
        <f>Raw_Export_Clean!A86</f>
        <v>Feb-23</v>
      </c>
      <c r="B86" s="13" t="str">
        <f>Raw_Export_Clean!B86</f>
        <v>FY23</v>
      </c>
      <c r="C86" s="13" t="str">
        <f>Raw_Export_Clean!C86</f>
        <v>Q4</v>
      </c>
      <c r="D86" s="13" t="str">
        <f>Raw_Export_Clean!D86</f>
        <v>Revenue</v>
      </c>
      <c r="E86" s="13" t="str">
        <f>Raw_Export_Clean!E86</f>
        <v>Services</v>
      </c>
      <c r="F86" s="14">
        <f>Raw_Export_Clean!F86</f>
        <v>40</v>
      </c>
      <c r="G86" s="14">
        <f>Raw_Export_Clean!G86</f>
        <v>44</v>
      </c>
      <c r="H86" s="14">
        <f t="shared" si="6"/>
        <v>4</v>
      </c>
      <c r="I86" s="15">
        <f t="shared" si="7"/>
        <v>0.1</v>
      </c>
      <c r="J86" s="16" t="str">
        <f t="shared" si="8"/>
        <v>GREEN</v>
      </c>
      <c r="K86" s="14">
        <f>SUMPRODUCT((B$4:B86=B86)*(E$4:E86=E86)*H$4:H86)</f>
        <v>35.699999999999996</v>
      </c>
    </row>
    <row r="87" spans="1:11" ht="15" customHeight="1" x14ac:dyDescent="0.45">
      <c r="A87" s="17" t="str">
        <f>Raw_Export_Clean!A87</f>
        <v>Feb-23</v>
      </c>
      <c r="B87" s="17" t="str">
        <f>Raw_Export_Clean!B87</f>
        <v>FY23</v>
      </c>
      <c r="C87" s="17" t="str">
        <f>Raw_Export_Clean!C87</f>
        <v>Q4</v>
      </c>
      <c r="D87" s="17" t="str">
        <f>Raw_Export_Clean!D87</f>
        <v>Cost</v>
      </c>
      <c r="E87" s="17" t="str">
        <f>Raw_Export_Clean!E87</f>
        <v>Operations</v>
      </c>
      <c r="F87" s="18">
        <f>Raw_Export_Clean!F87</f>
        <v>90</v>
      </c>
      <c r="G87" s="18">
        <f>Raw_Export_Clean!G87</f>
        <v>94.5</v>
      </c>
      <c r="H87" s="18">
        <f t="shared" si="6"/>
        <v>4.5</v>
      </c>
      <c r="I87" s="19">
        <f t="shared" si="7"/>
        <v>0.05</v>
      </c>
      <c r="J87" s="20" t="str">
        <f t="shared" si="8"/>
        <v>AMBER</v>
      </c>
      <c r="K87" s="18">
        <f>SUMPRODUCT((B$4:B87=B87)*(E$4:E87=E87)*H$4:H87)</f>
        <v>44.45</v>
      </c>
    </row>
    <row r="88" spans="1:11" ht="15" customHeight="1" x14ac:dyDescent="0.45">
      <c r="A88" s="13" t="str">
        <f>Raw_Export_Clean!A88</f>
        <v>Feb-23</v>
      </c>
      <c r="B88" s="13" t="str">
        <f>Raw_Export_Clean!B88</f>
        <v>FY23</v>
      </c>
      <c r="C88" s="13" t="str">
        <f>Raw_Export_Clean!C88</f>
        <v>Q4</v>
      </c>
      <c r="D88" s="13" t="str">
        <f>Raw_Export_Clean!D88</f>
        <v>Cost</v>
      </c>
      <c r="E88" s="13" t="str">
        <f>Raw_Export_Clean!E88</f>
        <v>Sales</v>
      </c>
      <c r="F88" s="14">
        <f>Raw_Export_Clean!F88</f>
        <v>20</v>
      </c>
      <c r="G88" s="14">
        <f>Raw_Export_Clean!G88</f>
        <v>20.2</v>
      </c>
      <c r="H88" s="14">
        <f t="shared" si="6"/>
        <v>0.19999999999999929</v>
      </c>
      <c r="I88" s="15">
        <f t="shared" si="7"/>
        <v>9.9999999999999638E-3</v>
      </c>
      <c r="J88" s="20" t="str">
        <f t="shared" si="8"/>
        <v>AMBER</v>
      </c>
      <c r="K88" s="14">
        <f>SUMPRODUCT((B$4:B88=B88)*(E$4:E88=E88)*H$4:H88)</f>
        <v>2.25</v>
      </c>
    </row>
    <row r="89" spans="1:11" ht="15" customHeight="1" x14ac:dyDescent="0.45">
      <c r="A89" s="17" t="str">
        <f>Raw_Export_Clean!A89</f>
        <v>Feb-23</v>
      </c>
      <c r="B89" s="17" t="str">
        <f>Raw_Export_Clean!B89</f>
        <v>FY23</v>
      </c>
      <c r="C89" s="17" t="str">
        <f>Raw_Export_Clean!C89</f>
        <v>Q4</v>
      </c>
      <c r="D89" s="17" t="str">
        <f>Raw_Export_Clean!D89</f>
        <v>Cost</v>
      </c>
      <c r="E89" s="17" t="str">
        <f>Raw_Export_Clean!E89</f>
        <v>Marketing</v>
      </c>
      <c r="F89" s="18">
        <f>Raw_Export_Clean!F89</f>
        <v>16</v>
      </c>
      <c r="G89" s="18">
        <f>Raw_Export_Clean!G89</f>
        <v>16.48</v>
      </c>
      <c r="H89" s="18">
        <f t="shared" si="6"/>
        <v>0.48000000000000043</v>
      </c>
      <c r="I89" s="19">
        <f t="shared" si="7"/>
        <v>3.0000000000000027E-2</v>
      </c>
      <c r="J89" s="20" t="str">
        <f t="shared" si="8"/>
        <v>AMBER</v>
      </c>
      <c r="K89" s="18">
        <f>SUMPRODUCT((B$4:B89=B89)*(E$4:E89=E89)*H$4:H89)</f>
        <v>6.4399999999999995</v>
      </c>
    </row>
    <row r="90" spans="1:11" ht="15" customHeight="1" x14ac:dyDescent="0.45">
      <c r="A90" s="13" t="str">
        <f>Raw_Export_Clean!A90</f>
        <v>Feb-23</v>
      </c>
      <c r="B90" s="13" t="str">
        <f>Raw_Export_Clean!B90</f>
        <v>FY23</v>
      </c>
      <c r="C90" s="13" t="str">
        <f>Raw_Export_Clean!C90</f>
        <v>Q4</v>
      </c>
      <c r="D90" s="13" t="str">
        <f>Raw_Export_Clean!D90</f>
        <v>Cost</v>
      </c>
      <c r="E90" s="13" t="str">
        <f>Raw_Export_Clean!E90</f>
        <v>HR</v>
      </c>
      <c r="F90" s="14">
        <f>Raw_Export_Clean!F90</f>
        <v>12</v>
      </c>
      <c r="G90" s="14">
        <f>Raw_Export_Clean!G90</f>
        <v>12.36</v>
      </c>
      <c r="H90" s="14">
        <f t="shared" si="6"/>
        <v>0.35999999999999943</v>
      </c>
      <c r="I90" s="15">
        <f t="shared" si="7"/>
        <v>2.9999999999999954E-2</v>
      </c>
      <c r="J90" s="20" t="str">
        <f t="shared" si="8"/>
        <v>AMBER</v>
      </c>
      <c r="K90" s="14">
        <f>SUMPRODUCT((B$4:B90=B90)*(E$4:E90=E90)*H$4:H90)</f>
        <v>4.6999999999999993</v>
      </c>
    </row>
    <row r="91" spans="1:11" ht="15" customHeight="1" x14ac:dyDescent="0.45">
      <c r="A91" s="17" t="str">
        <f>Raw_Export_Clean!A91</f>
        <v>Feb-23</v>
      </c>
      <c r="B91" s="17" t="str">
        <f>Raw_Export_Clean!B91</f>
        <v>FY23</v>
      </c>
      <c r="C91" s="17" t="str">
        <f>Raw_Export_Clean!C91</f>
        <v>Q4</v>
      </c>
      <c r="D91" s="17" t="str">
        <f>Raw_Export_Clean!D91</f>
        <v>Cost</v>
      </c>
      <c r="E91" s="17" t="str">
        <f>Raw_Export_Clean!E91</f>
        <v>Finance &amp; Admin</v>
      </c>
      <c r="F91" s="18">
        <f>Raw_Export_Clean!F91</f>
        <v>8</v>
      </c>
      <c r="G91" s="18">
        <f>Raw_Export_Clean!G91</f>
        <v>8</v>
      </c>
      <c r="H91" s="18">
        <f t="shared" si="6"/>
        <v>0</v>
      </c>
      <c r="I91" s="19">
        <f t="shared" si="7"/>
        <v>0</v>
      </c>
      <c r="J91" s="20" t="str">
        <f t="shared" si="8"/>
        <v>AMBER</v>
      </c>
      <c r="K91" s="18">
        <f>SUMPRODUCT((B$4:B91=B91)*(E$4:E91=E91)*H$4:H91)</f>
        <v>0.89000000000000057</v>
      </c>
    </row>
    <row r="92" spans="1:11" ht="15" customHeight="1" x14ac:dyDescent="0.45">
      <c r="A92" s="13" t="str">
        <f>Raw_Export_Clean!A92</f>
        <v>Mar-23</v>
      </c>
      <c r="B92" s="13" t="str">
        <f>Raw_Export_Clean!B92</f>
        <v>FY23</v>
      </c>
      <c r="C92" s="13" t="str">
        <f>Raw_Export_Clean!C92</f>
        <v>Q4</v>
      </c>
      <c r="D92" s="13" t="str">
        <f>Raw_Export_Clean!D92</f>
        <v>Revenue</v>
      </c>
      <c r="E92" s="13" t="str">
        <f>Raw_Export_Clean!E92</f>
        <v>Product A</v>
      </c>
      <c r="F92" s="14">
        <f>Raw_Export_Clean!F92</f>
        <v>87.5</v>
      </c>
      <c r="G92" s="14">
        <f>Raw_Export_Clean!G92</f>
        <v>91.88</v>
      </c>
      <c r="H92" s="14">
        <f t="shared" si="6"/>
        <v>4.3799999999999955</v>
      </c>
      <c r="I92" s="15">
        <f t="shared" si="7"/>
        <v>5.0057142857142807E-2</v>
      </c>
      <c r="J92" s="16" t="str">
        <f t="shared" si="8"/>
        <v>GREEN</v>
      </c>
      <c r="K92" s="14">
        <f>SUMPRODUCT((B$4:B92=B92)*(E$4:E92=E92)*H$4:H92)</f>
        <v>38.759999999999991</v>
      </c>
    </row>
    <row r="93" spans="1:11" ht="15" customHeight="1" x14ac:dyDescent="0.45">
      <c r="A93" s="17" t="str">
        <f>Raw_Export_Clean!A93</f>
        <v>Mar-23</v>
      </c>
      <c r="B93" s="17" t="str">
        <f>Raw_Export_Clean!B93</f>
        <v>FY23</v>
      </c>
      <c r="C93" s="17" t="str">
        <f>Raw_Export_Clean!C93</f>
        <v>Q4</v>
      </c>
      <c r="D93" s="17" t="str">
        <f>Raw_Export_Clean!D93</f>
        <v>Revenue</v>
      </c>
      <c r="E93" s="17" t="str">
        <f>Raw_Export_Clean!E93</f>
        <v>Product B</v>
      </c>
      <c r="F93" s="18">
        <f>Raw_Export_Clean!F93</f>
        <v>52.5</v>
      </c>
      <c r="G93" s="18">
        <f>Raw_Export_Clean!G93</f>
        <v>46.73</v>
      </c>
      <c r="H93" s="18">
        <f t="shared" si="6"/>
        <v>-5.7700000000000031</v>
      </c>
      <c r="I93" s="19">
        <f t="shared" si="7"/>
        <v>-0.10990476190476196</v>
      </c>
      <c r="J93" s="21" t="str">
        <f t="shared" si="8"/>
        <v>RED</v>
      </c>
      <c r="K93" s="18">
        <f>SUMPRODUCT((B$4:B93=B93)*(E$4:E93=E93)*H$4:H93)</f>
        <v>-54.07</v>
      </c>
    </row>
    <row r="94" spans="1:11" ht="15" customHeight="1" x14ac:dyDescent="0.45">
      <c r="A94" s="13" t="str">
        <f>Raw_Export_Clean!A94</f>
        <v>Mar-23</v>
      </c>
      <c r="B94" s="13" t="str">
        <f>Raw_Export_Clean!B94</f>
        <v>FY23</v>
      </c>
      <c r="C94" s="13" t="str">
        <f>Raw_Export_Clean!C94</f>
        <v>Q4</v>
      </c>
      <c r="D94" s="13" t="str">
        <f>Raw_Export_Clean!D94</f>
        <v>Revenue</v>
      </c>
      <c r="E94" s="13" t="str">
        <f>Raw_Export_Clean!E94</f>
        <v>Services</v>
      </c>
      <c r="F94" s="14">
        <f>Raw_Export_Clean!F94</f>
        <v>35</v>
      </c>
      <c r="G94" s="14">
        <f>Raw_Export_Clean!G94</f>
        <v>38.85</v>
      </c>
      <c r="H94" s="14">
        <f t="shared" si="6"/>
        <v>3.8500000000000014</v>
      </c>
      <c r="I94" s="15">
        <f t="shared" si="7"/>
        <v>0.11000000000000004</v>
      </c>
      <c r="J94" s="16" t="str">
        <f t="shared" si="8"/>
        <v>GREEN</v>
      </c>
      <c r="K94" s="14">
        <f>SUMPRODUCT((B$4:B94=B94)*(E$4:E94=E94)*H$4:H94)</f>
        <v>39.549999999999997</v>
      </c>
    </row>
    <row r="95" spans="1:11" ht="15" customHeight="1" x14ac:dyDescent="0.45">
      <c r="A95" s="17" t="str">
        <f>Raw_Export_Clean!A95</f>
        <v>Mar-23</v>
      </c>
      <c r="B95" s="17" t="str">
        <f>Raw_Export_Clean!B95</f>
        <v>FY23</v>
      </c>
      <c r="C95" s="17" t="str">
        <f>Raw_Export_Clean!C95</f>
        <v>Q4</v>
      </c>
      <c r="D95" s="17" t="str">
        <f>Raw_Export_Clean!D95</f>
        <v>Cost</v>
      </c>
      <c r="E95" s="17" t="str">
        <f>Raw_Export_Clean!E95</f>
        <v>Operations</v>
      </c>
      <c r="F95" s="18">
        <f>Raw_Export_Clean!F95</f>
        <v>78.75</v>
      </c>
      <c r="G95" s="18">
        <f>Raw_Export_Clean!G95</f>
        <v>84.26</v>
      </c>
      <c r="H95" s="18">
        <f t="shared" si="6"/>
        <v>5.5100000000000051</v>
      </c>
      <c r="I95" s="19">
        <f t="shared" si="7"/>
        <v>6.9968253968254027E-2</v>
      </c>
      <c r="J95" s="21" t="str">
        <f t="shared" si="8"/>
        <v>RED</v>
      </c>
      <c r="K95" s="18">
        <f>SUMPRODUCT((B$4:B95=B95)*(E$4:E95=E95)*H$4:H95)</f>
        <v>49.960000000000008</v>
      </c>
    </row>
    <row r="96" spans="1:11" ht="15" customHeight="1" x14ac:dyDescent="0.45">
      <c r="A96" s="13" t="str">
        <f>Raw_Export_Clean!A96</f>
        <v>Mar-23</v>
      </c>
      <c r="B96" s="13" t="str">
        <f>Raw_Export_Clean!B96</f>
        <v>FY23</v>
      </c>
      <c r="C96" s="13" t="str">
        <f>Raw_Export_Clean!C96</f>
        <v>Q4</v>
      </c>
      <c r="D96" s="13" t="str">
        <f>Raw_Export_Clean!D96</f>
        <v>Cost</v>
      </c>
      <c r="E96" s="13" t="str">
        <f>Raw_Export_Clean!E96</f>
        <v>Sales</v>
      </c>
      <c r="F96" s="14">
        <f>Raw_Export_Clean!F96</f>
        <v>17.5</v>
      </c>
      <c r="G96" s="14">
        <f>Raw_Export_Clean!G96</f>
        <v>18.03</v>
      </c>
      <c r="H96" s="14">
        <f t="shared" si="6"/>
        <v>0.53000000000000114</v>
      </c>
      <c r="I96" s="15">
        <f t="shared" si="7"/>
        <v>3.028571428571435E-2</v>
      </c>
      <c r="J96" s="20" t="str">
        <f t="shared" si="8"/>
        <v>AMBER</v>
      </c>
      <c r="K96" s="14">
        <f>SUMPRODUCT((B$4:B96=B96)*(E$4:E96=E96)*H$4:H96)</f>
        <v>2.7800000000000011</v>
      </c>
    </row>
    <row r="97" spans="1:11" ht="15" customHeight="1" x14ac:dyDescent="0.45">
      <c r="A97" s="17" t="str">
        <f>Raw_Export_Clean!A97</f>
        <v>Mar-23</v>
      </c>
      <c r="B97" s="17" t="str">
        <f>Raw_Export_Clean!B97</f>
        <v>FY23</v>
      </c>
      <c r="C97" s="17" t="str">
        <f>Raw_Export_Clean!C97</f>
        <v>Q4</v>
      </c>
      <c r="D97" s="17" t="str">
        <f>Raw_Export_Clean!D97</f>
        <v>Cost</v>
      </c>
      <c r="E97" s="17" t="str">
        <f>Raw_Export_Clean!E97</f>
        <v>Marketing</v>
      </c>
      <c r="F97" s="18">
        <f>Raw_Export_Clean!F97</f>
        <v>14</v>
      </c>
      <c r="G97" s="18">
        <f>Raw_Export_Clean!G97</f>
        <v>14.7</v>
      </c>
      <c r="H97" s="18">
        <f t="shared" si="6"/>
        <v>0.69999999999999929</v>
      </c>
      <c r="I97" s="19">
        <f t="shared" si="7"/>
        <v>4.9999999999999947E-2</v>
      </c>
      <c r="J97" s="20" t="str">
        <f t="shared" si="8"/>
        <v>AMBER</v>
      </c>
      <c r="K97" s="18">
        <f>SUMPRODUCT((B$4:B97=B97)*(E$4:E97=E97)*H$4:H97)</f>
        <v>7.1399999999999988</v>
      </c>
    </row>
    <row r="98" spans="1:11" ht="15" customHeight="1" x14ac:dyDescent="0.45">
      <c r="A98" s="13" t="str">
        <f>Raw_Export_Clean!A98</f>
        <v>Mar-23</v>
      </c>
      <c r="B98" s="13" t="str">
        <f>Raw_Export_Clean!B98</f>
        <v>FY23</v>
      </c>
      <c r="C98" s="13" t="str">
        <f>Raw_Export_Clean!C98</f>
        <v>Q4</v>
      </c>
      <c r="D98" s="13" t="str">
        <f>Raw_Export_Clean!D98</f>
        <v>Cost</v>
      </c>
      <c r="E98" s="13" t="str">
        <f>Raw_Export_Clean!E98</f>
        <v>HR</v>
      </c>
      <c r="F98" s="14">
        <f>Raw_Export_Clean!F98</f>
        <v>10.5</v>
      </c>
      <c r="G98" s="14">
        <f>Raw_Export_Clean!G98</f>
        <v>11.03</v>
      </c>
      <c r="H98" s="14">
        <f t="shared" si="6"/>
        <v>0.52999999999999936</v>
      </c>
      <c r="I98" s="15">
        <f t="shared" si="7"/>
        <v>5.0476190476190418E-2</v>
      </c>
      <c r="J98" s="20" t="str">
        <f t="shared" si="8"/>
        <v>RED</v>
      </c>
      <c r="K98" s="14">
        <f>SUMPRODUCT((B$4:B98=B98)*(E$4:E98=E98)*H$4:H98)</f>
        <v>5.2299999999999986</v>
      </c>
    </row>
    <row r="99" spans="1:11" ht="15" customHeight="1" x14ac:dyDescent="0.45">
      <c r="A99" s="17" t="str">
        <f>Raw_Export_Clean!A99</f>
        <v>Mar-23</v>
      </c>
      <c r="B99" s="17" t="str">
        <f>Raw_Export_Clean!B99</f>
        <v>FY23</v>
      </c>
      <c r="C99" s="17" t="str">
        <f>Raw_Export_Clean!C99</f>
        <v>Q4</v>
      </c>
      <c r="D99" s="17" t="str">
        <f>Raw_Export_Clean!D99</f>
        <v>Cost</v>
      </c>
      <c r="E99" s="17" t="str">
        <f>Raw_Export_Clean!E99</f>
        <v>Finance &amp; Admin</v>
      </c>
      <c r="F99" s="18">
        <f>Raw_Export_Clean!F99</f>
        <v>7</v>
      </c>
      <c r="G99" s="18">
        <f>Raw_Export_Clean!G99</f>
        <v>7.14</v>
      </c>
      <c r="H99" s="18">
        <f t="shared" si="6"/>
        <v>0.13999999999999968</v>
      </c>
      <c r="I99" s="19">
        <f t="shared" si="7"/>
        <v>1.9999999999999955E-2</v>
      </c>
      <c r="J99" s="20" t="str">
        <f t="shared" si="8"/>
        <v>AMBER</v>
      </c>
      <c r="K99" s="18">
        <f>SUMPRODUCT((B$4:B99=B99)*(E$4:E99=E99)*H$4:H99)</f>
        <v>1.0300000000000002</v>
      </c>
    </row>
    <row r="100" spans="1:11" ht="15" customHeight="1" x14ac:dyDescent="0.45">
      <c r="A100" s="13" t="str">
        <f>Raw_Export_Clean!A100</f>
        <v>Apr-23</v>
      </c>
      <c r="B100" s="13" t="str">
        <f>Raw_Export_Clean!B100</f>
        <v>FY24</v>
      </c>
      <c r="C100" s="13" t="str">
        <f>Raw_Export_Clean!C100</f>
        <v>Q1</v>
      </c>
      <c r="D100" s="13" t="str">
        <f>Raw_Export_Clean!D100</f>
        <v>Revenue</v>
      </c>
      <c r="E100" s="13" t="str">
        <f>Raw_Export_Clean!E100</f>
        <v>Product A</v>
      </c>
      <c r="F100" s="14">
        <f>Raw_Export_Clean!F100</f>
        <v>96.6</v>
      </c>
      <c r="G100" s="14">
        <f>Raw_Export_Clean!G100</f>
        <v>99.5</v>
      </c>
      <c r="H100" s="14">
        <f t="shared" ref="H100:H131" si="9">G100-F100</f>
        <v>2.9000000000000057</v>
      </c>
      <c r="I100" s="15">
        <f t="shared" ref="I100:I131" si="10">IF(F100&lt;&gt;0,(G100-F100)/F100,0)</f>
        <v>3.0020703933747471E-2</v>
      </c>
      <c r="J100" s="16" t="str">
        <f t="shared" ref="J100:J131" si="11">IF(D100="Revenue",IF(I100&gt;=0.02,"GREEN",IF(I100&gt;=-0.05,"AMBER","RED")),IF(I100&lt;=-0.02,"GREEN",IF(I100&lt;=0.05,"AMBER","RED")))</f>
        <v>GREEN</v>
      </c>
      <c r="K100" s="14">
        <f>SUMPRODUCT((B$4:B100=B100)*(E$4:E100=E100)*H$4:H100)</f>
        <v>2.9000000000000057</v>
      </c>
    </row>
    <row r="101" spans="1:11" ht="15" customHeight="1" x14ac:dyDescent="0.45">
      <c r="A101" s="17" t="str">
        <f>Raw_Export_Clean!A101</f>
        <v>Apr-23</v>
      </c>
      <c r="B101" s="17" t="str">
        <f>Raw_Export_Clean!B101</f>
        <v>FY24</v>
      </c>
      <c r="C101" s="17" t="str">
        <f>Raw_Export_Clean!C101</f>
        <v>Q1</v>
      </c>
      <c r="D101" s="17" t="str">
        <f>Raw_Export_Clean!D101</f>
        <v>Revenue</v>
      </c>
      <c r="E101" s="17" t="str">
        <f>Raw_Export_Clean!E101</f>
        <v>Product B</v>
      </c>
      <c r="F101" s="18">
        <f>Raw_Export_Clean!F101</f>
        <v>53.9</v>
      </c>
      <c r="G101" s="18">
        <f>Raw_Export_Clean!G101</f>
        <v>48.51</v>
      </c>
      <c r="H101" s="18">
        <f t="shared" si="9"/>
        <v>-5.3900000000000006</v>
      </c>
      <c r="I101" s="19">
        <f t="shared" si="10"/>
        <v>-0.10000000000000002</v>
      </c>
      <c r="J101" s="21" t="str">
        <f t="shared" si="11"/>
        <v>RED</v>
      </c>
      <c r="K101" s="18">
        <f>SUMPRODUCT((B$4:B101=B101)*(E$4:E101=E101)*H$4:H101)</f>
        <v>-5.3900000000000006</v>
      </c>
    </row>
    <row r="102" spans="1:11" ht="15" customHeight="1" x14ac:dyDescent="0.45">
      <c r="A102" s="13" t="str">
        <f>Raw_Export_Clean!A102</f>
        <v>Apr-23</v>
      </c>
      <c r="B102" s="13" t="str">
        <f>Raw_Export_Clean!B102</f>
        <v>FY24</v>
      </c>
      <c r="C102" s="13" t="str">
        <f>Raw_Export_Clean!C102</f>
        <v>Q1</v>
      </c>
      <c r="D102" s="13" t="str">
        <f>Raw_Export_Clean!D102</f>
        <v>Revenue</v>
      </c>
      <c r="E102" s="13" t="str">
        <f>Raw_Export_Clean!E102</f>
        <v>Services</v>
      </c>
      <c r="F102" s="14">
        <f>Raw_Export_Clean!F102</f>
        <v>42</v>
      </c>
      <c r="G102" s="14">
        <f>Raw_Export_Clean!G102</f>
        <v>45.36</v>
      </c>
      <c r="H102" s="14">
        <f t="shared" si="9"/>
        <v>3.3599999999999994</v>
      </c>
      <c r="I102" s="15">
        <f t="shared" si="10"/>
        <v>7.9999999999999988E-2</v>
      </c>
      <c r="J102" s="16" t="str">
        <f t="shared" si="11"/>
        <v>GREEN</v>
      </c>
      <c r="K102" s="14">
        <f>SUMPRODUCT((B$4:B102=B102)*(E$4:E102=E102)*H$4:H102)</f>
        <v>3.3599999999999994</v>
      </c>
    </row>
    <row r="103" spans="1:11" ht="15" customHeight="1" x14ac:dyDescent="0.45">
      <c r="A103" s="17" t="str">
        <f>Raw_Export_Clean!A103</f>
        <v>Apr-23</v>
      </c>
      <c r="B103" s="17" t="str">
        <f>Raw_Export_Clean!B103</f>
        <v>FY24</v>
      </c>
      <c r="C103" s="17" t="str">
        <f>Raw_Export_Clean!C103</f>
        <v>Q1</v>
      </c>
      <c r="D103" s="17" t="str">
        <f>Raw_Export_Clean!D103</f>
        <v>Cost</v>
      </c>
      <c r="E103" s="17" t="str">
        <f>Raw_Export_Clean!E103</f>
        <v>Operations</v>
      </c>
      <c r="F103" s="18">
        <f>Raw_Export_Clean!F103</f>
        <v>84.7</v>
      </c>
      <c r="G103" s="18">
        <f>Raw_Export_Clean!G103</f>
        <v>88.94</v>
      </c>
      <c r="H103" s="18">
        <f t="shared" si="9"/>
        <v>4.2399999999999949</v>
      </c>
      <c r="I103" s="19">
        <f t="shared" si="10"/>
        <v>5.0059031877213632E-2</v>
      </c>
      <c r="J103" s="20" t="str">
        <f t="shared" si="11"/>
        <v>RED</v>
      </c>
      <c r="K103" s="18">
        <f>SUMPRODUCT((B$4:B103=B103)*(E$4:E103=E103)*H$4:H103)</f>
        <v>4.2399999999999949</v>
      </c>
    </row>
    <row r="104" spans="1:11" ht="15" customHeight="1" x14ac:dyDescent="0.45">
      <c r="A104" s="13" t="str">
        <f>Raw_Export_Clean!A104</f>
        <v>Apr-23</v>
      </c>
      <c r="B104" s="13" t="str">
        <f>Raw_Export_Clean!B104</f>
        <v>FY24</v>
      </c>
      <c r="C104" s="13" t="str">
        <f>Raw_Export_Clean!C104</f>
        <v>Q1</v>
      </c>
      <c r="D104" s="13" t="str">
        <f>Raw_Export_Clean!D104</f>
        <v>Cost</v>
      </c>
      <c r="E104" s="13" t="str">
        <f>Raw_Export_Clean!E104</f>
        <v>Sales</v>
      </c>
      <c r="F104" s="14">
        <f>Raw_Export_Clean!F104</f>
        <v>19.25</v>
      </c>
      <c r="G104" s="14">
        <f>Raw_Export_Clean!G104</f>
        <v>19.440000000000001</v>
      </c>
      <c r="H104" s="14">
        <f t="shared" si="9"/>
        <v>0.19000000000000128</v>
      </c>
      <c r="I104" s="15">
        <f t="shared" si="10"/>
        <v>9.8701298701299369E-3</v>
      </c>
      <c r="J104" s="20" t="str">
        <f t="shared" si="11"/>
        <v>AMBER</v>
      </c>
      <c r="K104" s="14">
        <f>SUMPRODUCT((B$4:B104=B104)*(E$4:E104=E104)*H$4:H104)</f>
        <v>0.19000000000000128</v>
      </c>
    </row>
    <row r="105" spans="1:11" ht="15" customHeight="1" x14ac:dyDescent="0.45">
      <c r="A105" s="17" t="str">
        <f>Raw_Export_Clean!A105</f>
        <v>Apr-23</v>
      </c>
      <c r="B105" s="17" t="str">
        <f>Raw_Export_Clean!B105</f>
        <v>FY24</v>
      </c>
      <c r="C105" s="17" t="str">
        <f>Raw_Export_Clean!C105</f>
        <v>Q1</v>
      </c>
      <c r="D105" s="17" t="str">
        <f>Raw_Export_Clean!D105</f>
        <v>Cost</v>
      </c>
      <c r="E105" s="17" t="str">
        <f>Raw_Export_Clean!E105</f>
        <v>Marketing</v>
      </c>
      <c r="F105" s="18">
        <f>Raw_Export_Clean!F105</f>
        <v>15.75</v>
      </c>
      <c r="G105" s="18">
        <f>Raw_Export_Clean!G105</f>
        <v>17.010000000000002</v>
      </c>
      <c r="H105" s="18">
        <f t="shared" si="9"/>
        <v>1.2600000000000016</v>
      </c>
      <c r="I105" s="19">
        <f t="shared" si="10"/>
        <v>8.0000000000000099E-2</v>
      </c>
      <c r="J105" s="21" t="str">
        <f t="shared" si="11"/>
        <v>RED</v>
      </c>
      <c r="K105" s="18">
        <f>SUMPRODUCT((B$4:B105=B105)*(E$4:E105=E105)*H$4:H105)</f>
        <v>1.2600000000000016</v>
      </c>
    </row>
    <row r="106" spans="1:11" ht="15" customHeight="1" x14ac:dyDescent="0.45">
      <c r="A106" s="13" t="str">
        <f>Raw_Export_Clean!A106</f>
        <v>Apr-23</v>
      </c>
      <c r="B106" s="13" t="str">
        <f>Raw_Export_Clean!B106</f>
        <v>FY24</v>
      </c>
      <c r="C106" s="13" t="str">
        <f>Raw_Export_Clean!C106</f>
        <v>Q1</v>
      </c>
      <c r="D106" s="13" t="str">
        <f>Raw_Export_Clean!D106</f>
        <v>Cost</v>
      </c>
      <c r="E106" s="13" t="str">
        <f>Raw_Export_Clean!E106</f>
        <v>HR</v>
      </c>
      <c r="F106" s="14">
        <f>Raw_Export_Clean!F106</f>
        <v>11.55</v>
      </c>
      <c r="G106" s="14">
        <f>Raw_Export_Clean!G106</f>
        <v>11.9</v>
      </c>
      <c r="H106" s="14">
        <f t="shared" si="9"/>
        <v>0.34999999999999964</v>
      </c>
      <c r="I106" s="15">
        <f t="shared" si="10"/>
        <v>3.0303030303030269E-2</v>
      </c>
      <c r="J106" s="20" t="str">
        <f t="shared" si="11"/>
        <v>AMBER</v>
      </c>
      <c r="K106" s="14">
        <f>SUMPRODUCT((B$4:B106=B106)*(E$4:E106=E106)*H$4:H106)</f>
        <v>0.34999999999999964</v>
      </c>
    </row>
    <row r="107" spans="1:11" ht="15" customHeight="1" x14ac:dyDescent="0.45">
      <c r="A107" s="17" t="str">
        <f>Raw_Export_Clean!A107</f>
        <v>Apr-23</v>
      </c>
      <c r="B107" s="17" t="str">
        <f>Raw_Export_Clean!B107</f>
        <v>FY24</v>
      </c>
      <c r="C107" s="17" t="str">
        <f>Raw_Export_Clean!C107</f>
        <v>Q1</v>
      </c>
      <c r="D107" s="17" t="str">
        <f>Raw_Export_Clean!D107</f>
        <v>Cost</v>
      </c>
      <c r="E107" s="17" t="str">
        <f>Raw_Export_Clean!E107</f>
        <v>Finance &amp; Admin</v>
      </c>
      <c r="F107" s="18">
        <f>Raw_Export_Clean!F107</f>
        <v>7.7</v>
      </c>
      <c r="G107" s="18">
        <f>Raw_Export_Clean!G107</f>
        <v>7.78</v>
      </c>
      <c r="H107" s="18">
        <f t="shared" si="9"/>
        <v>8.0000000000000071E-2</v>
      </c>
      <c r="I107" s="19">
        <f t="shared" si="10"/>
        <v>1.0389610389610398E-2</v>
      </c>
      <c r="J107" s="20" t="str">
        <f t="shared" si="11"/>
        <v>AMBER</v>
      </c>
      <c r="K107" s="18">
        <f>SUMPRODUCT((B$4:B107=B107)*(E$4:E107=E107)*H$4:H107)</f>
        <v>8.0000000000000071E-2</v>
      </c>
    </row>
    <row r="108" spans="1:11" ht="15" customHeight="1" x14ac:dyDescent="0.45">
      <c r="A108" s="13" t="str">
        <f>Raw_Export_Clean!A108</f>
        <v>May-23</v>
      </c>
      <c r="B108" s="13" t="str">
        <f>Raw_Export_Clean!B108</f>
        <v>FY24</v>
      </c>
      <c r="C108" s="13" t="str">
        <f>Raw_Export_Clean!C108</f>
        <v>Q1</v>
      </c>
      <c r="D108" s="13" t="str">
        <f>Raw_Export_Clean!D108</f>
        <v>Revenue</v>
      </c>
      <c r="E108" s="13" t="str">
        <f>Raw_Export_Clean!E108</f>
        <v>Product A</v>
      </c>
      <c r="F108" s="14">
        <f>Raw_Export_Clean!F108</f>
        <v>96.6</v>
      </c>
      <c r="G108" s="14">
        <f>Raw_Export_Clean!G108</f>
        <v>98.53</v>
      </c>
      <c r="H108" s="14">
        <f t="shared" si="9"/>
        <v>1.9300000000000068</v>
      </c>
      <c r="I108" s="15">
        <f t="shared" si="10"/>
        <v>1.997929606625266E-2</v>
      </c>
      <c r="J108" s="16" t="str">
        <f t="shared" si="11"/>
        <v>AMBER</v>
      </c>
      <c r="K108" s="14">
        <f>SUMPRODUCT((B$4:B108=B108)*(E$4:E108=E108)*H$4:H108)</f>
        <v>4.8300000000000125</v>
      </c>
    </row>
    <row r="109" spans="1:11" ht="15" customHeight="1" x14ac:dyDescent="0.45">
      <c r="A109" s="17" t="str">
        <f>Raw_Export_Clean!A109</f>
        <v>May-23</v>
      </c>
      <c r="B109" s="17" t="str">
        <f>Raw_Export_Clean!B109</f>
        <v>FY24</v>
      </c>
      <c r="C109" s="17" t="str">
        <f>Raw_Export_Clean!C109</f>
        <v>Q1</v>
      </c>
      <c r="D109" s="17" t="str">
        <f>Raw_Export_Clean!D109</f>
        <v>Revenue</v>
      </c>
      <c r="E109" s="17" t="str">
        <f>Raw_Export_Clean!E109</f>
        <v>Product B</v>
      </c>
      <c r="F109" s="18">
        <f>Raw_Export_Clean!F109</f>
        <v>53.9</v>
      </c>
      <c r="G109" s="18">
        <f>Raw_Export_Clean!G109</f>
        <v>47.97</v>
      </c>
      <c r="H109" s="18">
        <f t="shared" si="9"/>
        <v>-5.93</v>
      </c>
      <c r="I109" s="19">
        <f t="shared" si="10"/>
        <v>-0.11001855287569573</v>
      </c>
      <c r="J109" s="21" t="str">
        <f t="shared" si="11"/>
        <v>RED</v>
      </c>
      <c r="K109" s="18">
        <f>SUMPRODUCT((B$4:B109=B109)*(E$4:E109=E109)*H$4:H109)</f>
        <v>-11.32</v>
      </c>
    </row>
    <row r="110" spans="1:11" ht="15" customHeight="1" x14ac:dyDescent="0.45">
      <c r="A110" s="13" t="str">
        <f>Raw_Export_Clean!A110</f>
        <v>May-23</v>
      </c>
      <c r="B110" s="13" t="str">
        <f>Raw_Export_Clean!B110</f>
        <v>FY24</v>
      </c>
      <c r="C110" s="13" t="str">
        <f>Raw_Export_Clean!C110</f>
        <v>Q1</v>
      </c>
      <c r="D110" s="13" t="str">
        <f>Raw_Export_Clean!D110</f>
        <v>Revenue</v>
      </c>
      <c r="E110" s="13" t="str">
        <f>Raw_Export_Clean!E110</f>
        <v>Services</v>
      </c>
      <c r="F110" s="14">
        <f>Raw_Export_Clean!F110</f>
        <v>42</v>
      </c>
      <c r="G110" s="14">
        <f>Raw_Export_Clean!G110</f>
        <v>45.78</v>
      </c>
      <c r="H110" s="14">
        <f t="shared" si="9"/>
        <v>3.7800000000000011</v>
      </c>
      <c r="I110" s="15">
        <f t="shared" si="10"/>
        <v>9.0000000000000024E-2</v>
      </c>
      <c r="J110" s="16" t="str">
        <f t="shared" si="11"/>
        <v>GREEN</v>
      </c>
      <c r="K110" s="14">
        <f>SUMPRODUCT((B$4:B110=B110)*(E$4:E110=E110)*H$4:H110)</f>
        <v>7.1400000000000006</v>
      </c>
    </row>
    <row r="111" spans="1:11" ht="15" customHeight="1" x14ac:dyDescent="0.45">
      <c r="A111" s="17" t="str">
        <f>Raw_Export_Clean!A111</f>
        <v>May-23</v>
      </c>
      <c r="B111" s="17" t="str">
        <f>Raw_Export_Clean!B111</f>
        <v>FY24</v>
      </c>
      <c r="C111" s="17" t="str">
        <f>Raw_Export_Clean!C111</f>
        <v>Q1</v>
      </c>
      <c r="D111" s="17" t="str">
        <f>Raw_Export_Clean!D111</f>
        <v>Cost</v>
      </c>
      <c r="E111" s="17" t="str">
        <f>Raw_Export_Clean!E111</f>
        <v>Operations</v>
      </c>
      <c r="F111" s="18">
        <f>Raw_Export_Clean!F111</f>
        <v>84.7</v>
      </c>
      <c r="G111" s="18">
        <f>Raw_Export_Clean!G111</f>
        <v>89.78</v>
      </c>
      <c r="H111" s="18">
        <f t="shared" si="9"/>
        <v>5.0799999999999983</v>
      </c>
      <c r="I111" s="19">
        <f t="shared" si="10"/>
        <v>5.9976387249114499E-2</v>
      </c>
      <c r="J111" s="21" t="str">
        <f t="shared" si="11"/>
        <v>RED</v>
      </c>
      <c r="K111" s="18">
        <f>SUMPRODUCT((B$4:B111=B111)*(E$4:E111=E111)*H$4:H111)</f>
        <v>9.3199999999999932</v>
      </c>
    </row>
    <row r="112" spans="1:11" ht="15" customHeight="1" x14ac:dyDescent="0.45">
      <c r="A112" s="13" t="str">
        <f>Raw_Export_Clean!A112</f>
        <v>May-23</v>
      </c>
      <c r="B112" s="13" t="str">
        <f>Raw_Export_Clean!B112</f>
        <v>FY24</v>
      </c>
      <c r="C112" s="13" t="str">
        <f>Raw_Export_Clean!C112</f>
        <v>Q1</v>
      </c>
      <c r="D112" s="13" t="str">
        <f>Raw_Export_Clean!D112</f>
        <v>Cost</v>
      </c>
      <c r="E112" s="13" t="str">
        <f>Raw_Export_Clean!E112</f>
        <v>Sales</v>
      </c>
      <c r="F112" s="14">
        <f>Raw_Export_Clean!F112</f>
        <v>19.25</v>
      </c>
      <c r="G112" s="14">
        <f>Raw_Export_Clean!G112</f>
        <v>19.059999999999999</v>
      </c>
      <c r="H112" s="14">
        <f t="shared" si="9"/>
        <v>-0.19000000000000128</v>
      </c>
      <c r="I112" s="15">
        <f t="shared" si="10"/>
        <v>-9.8701298701299369E-3</v>
      </c>
      <c r="J112" s="20" t="str">
        <f t="shared" si="11"/>
        <v>AMBER</v>
      </c>
      <c r="K112" s="14">
        <f>SUMPRODUCT((B$4:B112=B112)*(E$4:E112=E112)*H$4:H112)</f>
        <v>0</v>
      </c>
    </row>
    <row r="113" spans="1:11" ht="15" customHeight="1" x14ac:dyDescent="0.45">
      <c r="A113" s="17" t="str">
        <f>Raw_Export_Clean!A113</f>
        <v>May-23</v>
      </c>
      <c r="B113" s="17" t="str">
        <f>Raw_Export_Clean!B113</f>
        <v>FY24</v>
      </c>
      <c r="C113" s="17" t="str">
        <f>Raw_Export_Clean!C113</f>
        <v>Q1</v>
      </c>
      <c r="D113" s="17" t="str">
        <f>Raw_Export_Clean!D113</f>
        <v>Cost</v>
      </c>
      <c r="E113" s="17" t="str">
        <f>Raw_Export_Clean!E113</f>
        <v>Marketing</v>
      </c>
      <c r="F113" s="18">
        <f>Raw_Export_Clean!F113</f>
        <v>15.75</v>
      </c>
      <c r="G113" s="18">
        <f>Raw_Export_Clean!G113</f>
        <v>17.329999999999998</v>
      </c>
      <c r="H113" s="18">
        <f t="shared" si="9"/>
        <v>1.5799999999999983</v>
      </c>
      <c r="I113" s="19">
        <f t="shared" si="10"/>
        <v>0.10031746031746021</v>
      </c>
      <c r="J113" s="21" t="str">
        <f t="shared" si="11"/>
        <v>RED</v>
      </c>
      <c r="K113" s="18">
        <f>SUMPRODUCT((B$4:B113=B113)*(E$4:E113=E113)*H$4:H113)</f>
        <v>2.84</v>
      </c>
    </row>
    <row r="114" spans="1:11" ht="15" customHeight="1" x14ac:dyDescent="0.45">
      <c r="A114" s="13" t="str">
        <f>Raw_Export_Clean!A114</f>
        <v>May-23</v>
      </c>
      <c r="B114" s="13" t="str">
        <f>Raw_Export_Clean!B114</f>
        <v>FY24</v>
      </c>
      <c r="C114" s="13" t="str">
        <f>Raw_Export_Clean!C114</f>
        <v>Q1</v>
      </c>
      <c r="D114" s="13" t="str">
        <f>Raw_Export_Clean!D114</f>
        <v>Cost</v>
      </c>
      <c r="E114" s="13" t="str">
        <f>Raw_Export_Clean!E114</f>
        <v>HR</v>
      </c>
      <c r="F114" s="14">
        <f>Raw_Export_Clean!F114</f>
        <v>11.55</v>
      </c>
      <c r="G114" s="14">
        <f>Raw_Export_Clean!G114</f>
        <v>12.01</v>
      </c>
      <c r="H114" s="14">
        <f t="shared" si="9"/>
        <v>0.45999999999999908</v>
      </c>
      <c r="I114" s="15">
        <f t="shared" si="10"/>
        <v>3.9826839826839745E-2</v>
      </c>
      <c r="J114" s="20" t="str">
        <f t="shared" si="11"/>
        <v>AMBER</v>
      </c>
      <c r="K114" s="14">
        <f>SUMPRODUCT((B$4:B114=B114)*(E$4:E114=E114)*H$4:H114)</f>
        <v>0.80999999999999872</v>
      </c>
    </row>
    <row r="115" spans="1:11" ht="15" customHeight="1" x14ac:dyDescent="0.45">
      <c r="A115" s="17" t="str">
        <f>Raw_Export_Clean!A115</f>
        <v>May-23</v>
      </c>
      <c r="B115" s="17" t="str">
        <f>Raw_Export_Clean!B115</f>
        <v>FY24</v>
      </c>
      <c r="C115" s="17" t="str">
        <f>Raw_Export_Clean!C115</f>
        <v>Q1</v>
      </c>
      <c r="D115" s="17" t="str">
        <f>Raw_Export_Clean!D115</f>
        <v>Cost</v>
      </c>
      <c r="E115" s="17" t="str">
        <f>Raw_Export_Clean!E115</f>
        <v>Finance &amp; Admin</v>
      </c>
      <c r="F115" s="18">
        <f>Raw_Export_Clean!F115</f>
        <v>7.7</v>
      </c>
      <c r="G115" s="18">
        <f>Raw_Export_Clean!G115</f>
        <v>7.7</v>
      </c>
      <c r="H115" s="18">
        <f t="shared" si="9"/>
        <v>0</v>
      </c>
      <c r="I115" s="19">
        <f t="shared" si="10"/>
        <v>0</v>
      </c>
      <c r="J115" s="20" t="str">
        <f t="shared" si="11"/>
        <v>AMBER</v>
      </c>
      <c r="K115" s="18">
        <f>SUMPRODUCT((B$4:B115=B115)*(E$4:E115=E115)*H$4:H115)</f>
        <v>8.0000000000000071E-2</v>
      </c>
    </row>
    <row r="116" spans="1:11" ht="15" customHeight="1" x14ac:dyDescent="0.45">
      <c r="A116" s="13" t="str">
        <f>Raw_Export_Clean!A116</f>
        <v>Jun-23</v>
      </c>
      <c r="B116" s="13" t="str">
        <f>Raw_Export_Clean!B116</f>
        <v>FY24</v>
      </c>
      <c r="C116" s="13" t="str">
        <f>Raw_Export_Clean!C116</f>
        <v>Q1</v>
      </c>
      <c r="D116" s="13" t="str">
        <f>Raw_Export_Clean!D116</f>
        <v>Revenue</v>
      </c>
      <c r="E116" s="13" t="str">
        <f>Raw_Export_Clean!E116</f>
        <v>Product A</v>
      </c>
      <c r="F116" s="14">
        <f>Raw_Export_Clean!F116</f>
        <v>96.6</v>
      </c>
      <c r="G116" s="14">
        <f>Raw_Export_Clean!G116</f>
        <v>100.46</v>
      </c>
      <c r="H116" s="14">
        <f t="shared" si="9"/>
        <v>3.8599999999999994</v>
      </c>
      <c r="I116" s="15">
        <f t="shared" si="10"/>
        <v>3.9958592132505175E-2</v>
      </c>
      <c r="J116" s="16" t="str">
        <f t="shared" si="11"/>
        <v>GREEN</v>
      </c>
      <c r="K116" s="14">
        <f>SUMPRODUCT((B$4:B116=B116)*(E$4:E116=E116)*H$4:H116)</f>
        <v>8.6900000000000119</v>
      </c>
    </row>
    <row r="117" spans="1:11" ht="15" customHeight="1" x14ac:dyDescent="0.45">
      <c r="A117" s="17" t="str">
        <f>Raw_Export_Clean!A117</f>
        <v>Jun-23</v>
      </c>
      <c r="B117" s="17" t="str">
        <f>Raw_Export_Clean!B117</f>
        <v>FY24</v>
      </c>
      <c r="C117" s="17" t="str">
        <f>Raw_Export_Clean!C117</f>
        <v>Q1</v>
      </c>
      <c r="D117" s="17" t="str">
        <f>Raw_Export_Clean!D117</f>
        <v>Revenue</v>
      </c>
      <c r="E117" s="17" t="str">
        <f>Raw_Export_Clean!E117</f>
        <v>Product B</v>
      </c>
      <c r="F117" s="18">
        <f>Raw_Export_Clean!F117</f>
        <v>53.9</v>
      </c>
      <c r="G117" s="18">
        <f>Raw_Export_Clean!G117</f>
        <v>47.43</v>
      </c>
      <c r="H117" s="18">
        <f t="shared" si="9"/>
        <v>-6.4699999999999989</v>
      </c>
      <c r="I117" s="19">
        <f t="shared" si="10"/>
        <v>-0.12003710575139145</v>
      </c>
      <c r="J117" s="21" t="str">
        <f t="shared" si="11"/>
        <v>RED</v>
      </c>
      <c r="K117" s="18">
        <f>SUMPRODUCT((B$4:B117=B117)*(E$4:E117=E117)*H$4:H117)</f>
        <v>-17.79</v>
      </c>
    </row>
    <row r="118" spans="1:11" ht="15" customHeight="1" x14ac:dyDescent="0.45">
      <c r="A118" s="13" t="str">
        <f>Raw_Export_Clean!A118</f>
        <v>Jun-23</v>
      </c>
      <c r="B118" s="13" t="str">
        <f>Raw_Export_Clean!B118</f>
        <v>FY24</v>
      </c>
      <c r="C118" s="13" t="str">
        <f>Raw_Export_Clean!C118</f>
        <v>Q1</v>
      </c>
      <c r="D118" s="13" t="str">
        <f>Raw_Export_Clean!D118</f>
        <v>Revenue</v>
      </c>
      <c r="E118" s="13" t="str">
        <f>Raw_Export_Clean!E118</f>
        <v>Services</v>
      </c>
      <c r="F118" s="14">
        <f>Raw_Export_Clean!F118</f>
        <v>42</v>
      </c>
      <c r="G118" s="14">
        <f>Raw_Export_Clean!G118</f>
        <v>46.2</v>
      </c>
      <c r="H118" s="14">
        <f t="shared" si="9"/>
        <v>4.2000000000000028</v>
      </c>
      <c r="I118" s="15">
        <f t="shared" si="10"/>
        <v>0.10000000000000006</v>
      </c>
      <c r="J118" s="16" t="str">
        <f t="shared" si="11"/>
        <v>GREEN</v>
      </c>
      <c r="K118" s="14">
        <f>SUMPRODUCT((B$4:B118=B118)*(E$4:E118=E118)*H$4:H118)</f>
        <v>11.340000000000003</v>
      </c>
    </row>
    <row r="119" spans="1:11" ht="15" customHeight="1" x14ac:dyDescent="0.45">
      <c r="A119" s="17" t="str">
        <f>Raw_Export_Clean!A119</f>
        <v>Jun-23</v>
      </c>
      <c r="B119" s="17" t="str">
        <f>Raw_Export_Clean!B119</f>
        <v>FY24</v>
      </c>
      <c r="C119" s="17" t="str">
        <f>Raw_Export_Clean!C119</f>
        <v>Q1</v>
      </c>
      <c r="D119" s="17" t="str">
        <f>Raw_Export_Clean!D119</f>
        <v>Cost</v>
      </c>
      <c r="E119" s="17" t="str">
        <f>Raw_Export_Clean!E119</f>
        <v>Operations</v>
      </c>
      <c r="F119" s="18">
        <f>Raw_Export_Clean!F119</f>
        <v>84.7</v>
      </c>
      <c r="G119" s="18">
        <f>Raw_Export_Clean!G119</f>
        <v>88.94</v>
      </c>
      <c r="H119" s="18">
        <f t="shared" si="9"/>
        <v>4.2399999999999949</v>
      </c>
      <c r="I119" s="19">
        <f t="shared" si="10"/>
        <v>5.0059031877213632E-2</v>
      </c>
      <c r="J119" s="20" t="str">
        <f t="shared" si="11"/>
        <v>RED</v>
      </c>
      <c r="K119" s="18">
        <f>SUMPRODUCT((B$4:B119=B119)*(E$4:E119=E119)*H$4:H119)</f>
        <v>13.559999999999988</v>
      </c>
    </row>
    <row r="120" spans="1:11" ht="15" customHeight="1" x14ac:dyDescent="0.45">
      <c r="A120" s="13" t="str">
        <f>Raw_Export_Clean!A120</f>
        <v>Jun-23</v>
      </c>
      <c r="B120" s="13" t="str">
        <f>Raw_Export_Clean!B120</f>
        <v>FY24</v>
      </c>
      <c r="C120" s="13" t="str">
        <f>Raw_Export_Clean!C120</f>
        <v>Q1</v>
      </c>
      <c r="D120" s="13" t="str">
        <f>Raw_Export_Clean!D120</f>
        <v>Cost</v>
      </c>
      <c r="E120" s="13" t="str">
        <f>Raw_Export_Clean!E120</f>
        <v>Sales</v>
      </c>
      <c r="F120" s="14">
        <f>Raw_Export_Clean!F120</f>
        <v>19.25</v>
      </c>
      <c r="G120" s="14">
        <f>Raw_Export_Clean!G120</f>
        <v>19.64</v>
      </c>
      <c r="H120" s="14">
        <f t="shared" si="9"/>
        <v>0.39000000000000057</v>
      </c>
      <c r="I120" s="15">
        <f t="shared" si="10"/>
        <v>2.025974025974029E-2</v>
      </c>
      <c r="J120" s="20" t="str">
        <f t="shared" si="11"/>
        <v>AMBER</v>
      </c>
      <c r="K120" s="14">
        <f>SUMPRODUCT((B$4:B120=B120)*(E$4:E120=E120)*H$4:H120)</f>
        <v>0.39000000000000057</v>
      </c>
    </row>
    <row r="121" spans="1:11" ht="15" customHeight="1" x14ac:dyDescent="0.45">
      <c r="A121" s="17" t="str">
        <f>Raw_Export_Clean!A121</f>
        <v>Jun-23</v>
      </c>
      <c r="B121" s="17" t="str">
        <f>Raw_Export_Clean!B121</f>
        <v>FY24</v>
      </c>
      <c r="C121" s="17" t="str">
        <f>Raw_Export_Clean!C121</f>
        <v>Q1</v>
      </c>
      <c r="D121" s="17" t="str">
        <f>Raw_Export_Clean!D121</f>
        <v>Cost</v>
      </c>
      <c r="E121" s="17" t="str">
        <f>Raw_Export_Clean!E121</f>
        <v>Marketing</v>
      </c>
      <c r="F121" s="18">
        <f>Raw_Export_Clean!F121</f>
        <v>15.75</v>
      </c>
      <c r="G121" s="18">
        <f>Raw_Export_Clean!G121</f>
        <v>17.64</v>
      </c>
      <c r="H121" s="18">
        <f t="shared" si="9"/>
        <v>1.8900000000000006</v>
      </c>
      <c r="I121" s="19">
        <f t="shared" si="10"/>
        <v>0.12000000000000004</v>
      </c>
      <c r="J121" s="21" t="str">
        <f t="shared" si="11"/>
        <v>RED</v>
      </c>
      <c r="K121" s="18">
        <f>SUMPRODUCT((B$4:B121=B121)*(E$4:E121=E121)*H$4:H121)</f>
        <v>4.7300000000000004</v>
      </c>
    </row>
    <row r="122" spans="1:11" ht="15" customHeight="1" x14ac:dyDescent="0.45">
      <c r="A122" s="13" t="str">
        <f>Raw_Export_Clean!A122</f>
        <v>Jun-23</v>
      </c>
      <c r="B122" s="13" t="str">
        <f>Raw_Export_Clean!B122</f>
        <v>FY24</v>
      </c>
      <c r="C122" s="13" t="str">
        <f>Raw_Export_Clean!C122</f>
        <v>Q1</v>
      </c>
      <c r="D122" s="13" t="str">
        <f>Raw_Export_Clean!D122</f>
        <v>Cost</v>
      </c>
      <c r="E122" s="13" t="str">
        <f>Raw_Export_Clean!E122</f>
        <v>HR</v>
      </c>
      <c r="F122" s="14">
        <f>Raw_Export_Clean!F122</f>
        <v>11.55</v>
      </c>
      <c r="G122" s="14">
        <f>Raw_Export_Clean!G122</f>
        <v>11.9</v>
      </c>
      <c r="H122" s="14">
        <f t="shared" si="9"/>
        <v>0.34999999999999964</v>
      </c>
      <c r="I122" s="15">
        <f t="shared" si="10"/>
        <v>3.0303030303030269E-2</v>
      </c>
      <c r="J122" s="20" t="str">
        <f t="shared" si="11"/>
        <v>AMBER</v>
      </c>
      <c r="K122" s="14">
        <f>SUMPRODUCT((B$4:B122=B122)*(E$4:E122=E122)*H$4:H122)</f>
        <v>1.1599999999999984</v>
      </c>
    </row>
    <row r="123" spans="1:11" ht="15" customHeight="1" x14ac:dyDescent="0.45">
      <c r="A123" s="17" t="str">
        <f>Raw_Export_Clean!A123</f>
        <v>Jun-23</v>
      </c>
      <c r="B123" s="17" t="str">
        <f>Raw_Export_Clean!B123</f>
        <v>FY24</v>
      </c>
      <c r="C123" s="17" t="str">
        <f>Raw_Export_Clean!C123</f>
        <v>Q1</v>
      </c>
      <c r="D123" s="17" t="str">
        <f>Raw_Export_Clean!D123</f>
        <v>Cost</v>
      </c>
      <c r="E123" s="17" t="str">
        <f>Raw_Export_Clean!E123</f>
        <v>Finance &amp; Admin</v>
      </c>
      <c r="F123" s="18">
        <f>Raw_Export_Clean!F123</f>
        <v>7.7</v>
      </c>
      <c r="G123" s="18">
        <f>Raw_Export_Clean!G123</f>
        <v>7.78</v>
      </c>
      <c r="H123" s="18">
        <f t="shared" si="9"/>
        <v>8.0000000000000071E-2</v>
      </c>
      <c r="I123" s="19">
        <f t="shared" si="10"/>
        <v>1.0389610389610398E-2</v>
      </c>
      <c r="J123" s="20" t="str">
        <f t="shared" si="11"/>
        <v>AMBER</v>
      </c>
      <c r="K123" s="18">
        <f>SUMPRODUCT((B$4:B123=B123)*(E$4:E123=E123)*H$4:H123)</f>
        <v>0.16000000000000014</v>
      </c>
    </row>
    <row r="124" spans="1:11" ht="15" customHeight="1" x14ac:dyDescent="0.45">
      <c r="A124" s="13" t="str">
        <f>Raw_Export_Clean!A124</f>
        <v>Jul-23</v>
      </c>
      <c r="B124" s="13" t="str">
        <f>Raw_Export_Clean!B124</f>
        <v>FY24</v>
      </c>
      <c r="C124" s="13" t="str">
        <f>Raw_Export_Clean!C124</f>
        <v>Q2</v>
      </c>
      <c r="D124" s="13" t="str">
        <f>Raw_Export_Clean!D124</f>
        <v>Revenue</v>
      </c>
      <c r="E124" s="13" t="str">
        <f>Raw_Export_Clean!E124</f>
        <v>Product A</v>
      </c>
      <c r="F124" s="14">
        <f>Raw_Export_Clean!F124</f>
        <v>110.4</v>
      </c>
      <c r="G124" s="14">
        <f>Raw_Export_Clean!G124</f>
        <v>113.71</v>
      </c>
      <c r="H124" s="14">
        <f t="shared" si="9"/>
        <v>3.3099999999999881</v>
      </c>
      <c r="I124" s="15">
        <f t="shared" si="10"/>
        <v>2.9981884057970906E-2</v>
      </c>
      <c r="J124" s="16" t="str">
        <f t="shared" si="11"/>
        <v>GREEN</v>
      </c>
      <c r="K124" s="14">
        <f>SUMPRODUCT((B$4:B124=B124)*(E$4:E124=E124)*H$4:H124)</f>
        <v>12</v>
      </c>
    </row>
    <row r="125" spans="1:11" ht="15" customHeight="1" x14ac:dyDescent="0.45">
      <c r="A125" s="17" t="str">
        <f>Raw_Export_Clean!A125</f>
        <v>Jul-23</v>
      </c>
      <c r="B125" s="17" t="str">
        <f>Raw_Export_Clean!B125</f>
        <v>FY24</v>
      </c>
      <c r="C125" s="17" t="str">
        <f>Raw_Export_Clean!C125</f>
        <v>Q2</v>
      </c>
      <c r="D125" s="17" t="str">
        <f>Raw_Export_Clean!D125</f>
        <v>Revenue</v>
      </c>
      <c r="E125" s="17" t="str">
        <f>Raw_Export_Clean!E125</f>
        <v>Product B</v>
      </c>
      <c r="F125" s="18">
        <f>Raw_Export_Clean!F125</f>
        <v>61.6</v>
      </c>
      <c r="G125" s="18">
        <f>Raw_Export_Clean!G125</f>
        <v>54.82</v>
      </c>
      <c r="H125" s="18">
        <f t="shared" si="9"/>
        <v>-6.7800000000000011</v>
      </c>
      <c r="I125" s="19">
        <f t="shared" si="10"/>
        <v>-0.11006493506493509</v>
      </c>
      <c r="J125" s="21" t="str">
        <f t="shared" si="11"/>
        <v>RED</v>
      </c>
      <c r="K125" s="18">
        <f>SUMPRODUCT((B$4:B125=B125)*(E$4:E125=E125)*H$4:H125)</f>
        <v>-24.57</v>
      </c>
    </row>
    <row r="126" spans="1:11" ht="15" customHeight="1" x14ac:dyDescent="0.45">
      <c r="A126" s="13" t="str">
        <f>Raw_Export_Clean!A126</f>
        <v>Jul-23</v>
      </c>
      <c r="B126" s="13" t="str">
        <f>Raw_Export_Clean!B126</f>
        <v>FY24</v>
      </c>
      <c r="C126" s="13" t="str">
        <f>Raw_Export_Clean!C126</f>
        <v>Q2</v>
      </c>
      <c r="D126" s="13" t="str">
        <f>Raw_Export_Clean!D126</f>
        <v>Revenue</v>
      </c>
      <c r="E126" s="13" t="str">
        <f>Raw_Export_Clean!E126</f>
        <v>Services</v>
      </c>
      <c r="F126" s="14">
        <f>Raw_Export_Clean!F126</f>
        <v>48</v>
      </c>
      <c r="G126" s="14">
        <f>Raw_Export_Clean!G126</f>
        <v>53.28</v>
      </c>
      <c r="H126" s="14">
        <f t="shared" si="9"/>
        <v>5.2800000000000011</v>
      </c>
      <c r="I126" s="15">
        <f t="shared" si="10"/>
        <v>0.11000000000000003</v>
      </c>
      <c r="J126" s="16" t="str">
        <f t="shared" si="11"/>
        <v>GREEN</v>
      </c>
      <c r="K126" s="14">
        <f>SUMPRODUCT((B$4:B126=B126)*(E$4:E126=E126)*H$4:H126)</f>
        <v>16.620000000000005</v>
      </c>
    </row>
    <row r="127" spans="1:11" ht="15" customHeight="1" x14ac:dyDescent="0.45">
      <c r="A127" s="17" t="str">
        <f>Raw_Export_Clean!A127</f>
        <v>Jul-23</v>
      </c>
      <c r="B127" s="17" t="str">
        <f>Raw_Export_Clean!B127</f>
        <v>FY24</v>
      </c>
      <c r="C127" s="17" t="str">
        <f>Raw_Export_Clean!C127</f>
        <v>Q2</v>
      </c>
      <c r="D127" s="17" t="str">
        <f>Raw_Export_Clean!D127</f>
        <v>Cost</v>
      </c>
      <c r="E127" s="17" t="str">
        <f>Raw_Export_Clean!E127</f>
        <v>Operations</v>
      </c>
      <c r="F127" s="18">
        <f>Raw_Export_Clean!F127</f>
        <v>96.8</v>
      </c>
      <c r="G127" s="18">
        <f>Raw_Export_Clean!G127</f>
        <v>103.58</v>
      </c>
      <c r="H127" s="18">
        <f t="shared" si="9"/>
        <v>6.7800000000000011</v>
      </c>
      <c r="I127" s="19">
        <f t="shared" si="10"/>
        <v>7.0041322314049595E-2</v>
      </c>
      <c r="J127" s="21" t="str">
        <f t="shared" si="11"/>
        <v>RED</v>
      </c>
      <c r="K127" s="18">
        <f>SUMPRODUCT((B$4:B127=B127)*(E$4:E127=E127)*H$4:H127)</f>
        <v>20.339999999999989</v>
      </c>
    </row>
    <row r="128" spans="1:11" ht="15" customHeight="1" x14ac:dyDescent="0.45">
      <c r="A128" s="13" t="str">
        <f>Raw_Export_Clean!A128</f>
        <v>Jul-23</v>
      </c>
      <c r="B128" s="13" t="str">
        <f>Raw_Export_Clean!B128</f>
        <v>FY24</v>
      </c>
      <c r="C128" s="13" t="str">
        <f>Raw_Export_Clean!C128</f>
        <v>Q2</v>
      </c>
      <c r="D128" s="13" t="str">
        <f>Raw_Export_Clean!D128</f>
        <v>Cost</v>
      </c>
      <c r="E128" s="13" t="str">
        <f>Raw_Export_Clean!E128</f>
        <v>Sales</v>
      </c>
      <c r="F128" s="14">
        <f>Raw_Export_Clean!F128</f>
        <v>22</v>
      </c>
      <c r="G128" s="14">
        <f>Raw_Export_Clean!G128</f>
        <v>22.22</v>
      </c>
      <c r="H128" s="14">
        <f t="shared" si="9"/>
        <v>0.21999999999999886</v>
      </c>
      <c r="I128" s="15">
        <f t="shared" si="10"/>
        <v>9.9999999999999482E-3</v>
      </c>
      <c r="J128" s="20" t="str">
        <f t="shared" si="11"/>
        <v>AMBER</v>
      </c>
      <c r="K128" s="14">
        <f>SUMPRODUCT((B$4:B128=B128)*(E$4:E128=E128)*H$4:H128)</f>
        <v>0.60999999999999943</v>
      </c>
    </row>
    <row r="129" spans="1:11" ht="15" customHeight="1" x14ac:dyDescent="0.45">
      <c r="A129" s="17" t="str">
        <f>Raw_Export_Clean!A129</f>
        <v>Jul-23</v>
      </c>
      <c r="B129" s="17" t="str">
        <f>Raw_Export_Clean!B129</f>
        <v>FY24</v>
      </c>
      <c r="C129" s="17" t="str">
        <f>Raw_Export_Clean!C129</f>
        <v>Q2</v>
      </c>
      <c r="D129" s="17" t="str">
        <f>Raw_Export_Clean!D129</f>
        <v>Cost</v>
      </c>
      <c r="E129" s="17" t="str">
        <f>Raw_Export_Clean!E129</f>
        <v>Marketing</v>
      </c>
      <c r="F129" s="18">
        <f>Raw_Export_Clean!F129</f>
        <v>18</v>
      </c>
      <c r="G129" s="18">
        <f>Raw_Export_Clean!G129</f>
        <v>19.62</v>
      </c>
      <c r="H129" s="18">
        <f t="shared" si="9"/>
        <v>1.620000000000001</v>
      </c>
      <c r="I129" s="19">
        <f t="shared" si="10"/>
        <v>9.0000000000000052E-2</v>
      </c>
      <c r="J129" s="21" t="str">
        <f t="shared" si="11"/>
        <v>RED</v>
      </c>
      <c r="K129" s="18">
        <f>SUMPRODUCT((B$4:B129=B129)*(E$4:E129=E129)*H$4:H129)</f>
        <v>6.3500000000000014</v>
      </c>
    </row>
    <row r="130" spans="1:11" ht="15" customHeight="1" x14ac:dyDescent="0.45">
      <c r="A130" s="13" t="str">
        <f>Raw_Export_Clean!A130</f>
        <v>Jul-23</v>
      </c>
      <c r="B130" s="13" t="str">
        <f>Raw_Export_Clean!B130</f>
        <v>FY24</v>
      </c>
      <c r="C130" s="13" t="str">
        <f>Raw_Export_Clean!C130</f>
        <v>Q2</v>
      </c>
      <c r="D130" s="13" t="str">
        <f>Raw_Export_Clean!D130</f>
        <v>Cost</v>
      </c>
      <c r="E130" s="13" t="str">
        <f>Raw_Export_Clean!E130</f>
        <v>HR</v>
      </c>
      <c r="F130" s="14">
        <f>Raw_Export_Clean!F130</f>
        <v>13.2</v>
      </c>
      <c r="G130" s="14">
        <f>Raw_Export_Clean!G130</f>
        <v>13.86</v>
      </c>
      <c r="H130" s="14">
        <f t="shared" si="9"/>
        <v>0.66000000000000014</v>
      </c>
      <c r="I130" s="15">
        <f t="shared" si="10"/>
        <v>5.0000000000000017E-2</v>
      </c>
      <c r="J130" s="20" t="str">
        <f t="shared" si="11"/>
        <v>AMBER</v>
      </c>
      <c r="K130" s="14">
        <f>SUMPRODUCT((B$4:B130=B130)*(E$4:E130=E130)*H$4:H130)</f>
        <v>1.8199999999999985</v>
      </c>
    </row>
    <row r="131" spans="1:11" ht="15" customHeight="1" x14ac:dyDescent="0.45">
      <c r="A131" s="17" t="str">
        <f>Raw_Export_Clean!A131</f>
        <v>Jul-23</v>
      </c>
      <c r="B131" s="17" t="str">
        <f>Raw_Export_Clean!B131</f>
        <v>FY24</v>
      </c>
      <c r="C131" s="17" t="str">
        <f>Raw_Export_Clean!C131</f>
        <v>Q2</v>
      </c>
      <c r="D131" s="17" t="str">
        <f>Raw_Export_Clean!D131</f>
        <v>Cost</v>
      </c>
      <c r="E131" s="17" t="str">
        <f>Raw_Export_Clean!E131</f>
        <v>Finance &amp; Admin</v>
      </c>
      <c r="F131" s="18">
        <f>Raw_Export_Clean!F131</f>
        <v>8.8000000000000007</v>
      </c>
      <c r="G131" s="18">
        <f>Raw_Export_Clean!G131</f>
        <v>8.98</v>
      </c>
      <c r="H131" s="18">
        <f t="shared" si="9"/>
        <v>0.17999999999999972</v>
      </c>
      <c r="I131" s="19">
        <f t="shared" si="10"/>
        <v>2.045454545454542E-2</v>
      </c>
      <c r="J131" s="20" t="str">
        <f t="shared" si="11"/>
        <v>AMBER</v>
      </c>
      <c r="K131" s="18">
        <f>SUMPRODUCT((B$4:B131=B131)*(E$4:E131=E131)*H$4:H131)</f>
        <v>0.33999999999999986</v>
      </c>
    </row>
    <row r="132" spans="1:11" ht="15" customHeight="1" x14ac:dyDescent="0.45">
      <c r="A132" s="13" t="str">
        <f>Raw_Export_Clean!A132</f>
        <v>Aug-23</v>
      </c>
      <c r="B132" s="13" t="str">
        <f>Raw_Export_Clean!B132</f>
        <v>FY24</v>
      </c>
      <c r="C132" s="13" t="str">
        <f>Raw_Export_Clean!C132</f>
        <v>Q2</v>
      </c>
      <c r="D132" s="13" t="str">
        <f>Raw_Export_Clean!D132</f>
        <v>Revenue</v>
      </c>
      <c r="E132" s="13" t="str">
        <f>Raw_Export_Clean!E132</f>
        <v>Product A</v>
      </c>
      <c r="F132" s="14">
        <f>Raw_Export_Clean!F132</f>
        <v>110.4</v>
      </c>
      <c r="G132" s="14">
        <f>Raw_Export_Clean!G132</f>
        <v>112.61</v>
      </c>
      <c r="H132" s="14">
        <f t="shared" ref="H132:H163" si="12">G132-F132</f>
        <v>2.2099999999999937</v>
      </c>
      <c r="I132" s="15">
        <f t="shared" ref="I132:I163" si="13">IF(F132&lt;&gt;0,(G132-F132)/F132,0)</f>
        <v>2.0018115942028927E-2</v>
      </c>
      <c r="J132" s="16" t="str">
        <f t="shared" ref="J132:J163" si="14">IF(D132="Revenue",IF(I132&gt;=0.02,"GREEN",IF(I132&gt;=-0.05,"AMBER","RED")),IF(I132&lt;=-0.02,"GREEN",IF(I132&lt;=0.05,"AMBER","RED")))</f>
        <v>GREEN</v>
      </c>
      <c r="K132" s="14">
        <f>SUMPRODUCT((B$4:B132=B132)*(E$4:E132=E132)*H$4:H132)</f>
        <v>14.209999999999994</v>
      </c>
    </row>
    <row r="133" spans="1:11" ht="15" customHeight="1" x14ac:dyDescent="0.45">
      <c r="A133" s="17" t="str">
        <f>Raw_Export_Clean!A133</f>
        <v>Aug-23</v>
      </c>
      <c r="B133" s="17" t="str">
        <f>Raw_Export_Clean!B133</f>
        <v>FY24</v>
      </c>
      <c r="C133" s="17" t="str">
        <f>Raw_Export_Clean!C133</f>
        <v>Q2</v>
      </c>
      <c r="D133" s="17" t="str">
        <f>Raw_Export_Clean!D133</f>
        <v>Revenue</v>
      </c>
      <c r="E133" s="17" t="str">
        <f>Raw_Export_Clean!E133</f>
        <v>Product B</v>
      </c>
      <c r="F133" s="18">
        <f>Raw_Export_Clean!F133</f>
        <v>61.6</v>
      </c>
      <c r="G133" s="18">
        <f>Raw_Export_Clean!G133</f>
        <v>53.59</v>
      </c>
      <c r="H133" s="18">
        <f t="shared" si="12"/>
        <v>-8.009999999999998</v>
      </c>
      <c r="I133" s="19">
        <f t="shared" si="13"/>
        <v>-0.1300324675324675</v>
      </c>
      <c r="J133" s="21" t="str">
        <f t="shared" si="14"/>
        <v>RED</v>
      </c>
      <c r="K133" s="18">
        <f>SUMPRODUCT((B$4:B133=B133)*(E$4:E133=E133)*H$4:H133)</f>
        <v>-32.58</v>
      </c>
    </row>
    <row r="134" spans="1:11" ht="15" customHeight="1" x14ac:dyDescent="0.45">
      <c r="A134" s="13" t="str">
        <f>Raw_Export_Clean!A134</f>
        <v>Aug-23</v>
      </c>
      <c r="B134" s="13" t="str">
        <f>Raw_Export_Clean!B134</f>
        <v>FY24</v>
      </c>
      <c r="C134" s="13" t="str">
        <f>Raw_Export_Clean!C134</f>
        <v>Q2</v>
      </c>
      <c r="D134" s="13" t="str">
        <f>Raw_Export_Clean!D134</f>
        <v>Revenue</v>
      </c>
      <c r="E134" s="13" t="str">
        <f>Raw_Export_Clean!E134</f>
        <v>Services</v>
      </c>
      <c r="F134" s="14">
        <f>Raw_Export_Clean!F134</f>
        <v>48</v>
      </c>
      <c r="G134" s="14">
        <f>Raw_Export_Clean!G134</f>
        <v>52.8</v>
      </c>
      <c r="H134" s="14">
        <f t="shared" si="12"/>
        <v>4.7999999999999972</v>
      </c>
      <c r="I134" s="15">
        <f t="shared" si="13"/>
        <v>9.9999999999999936E-2</v>
      </c>
      <c r="J134" s="16" t="str">
        <f t="shared" si="14"/>
        <v>GREEN</v>
      </c>
      <c r="K134" s="14">
        <f>SUMPRODUCT((B$4:B134=B134)*(E$4:E134=E134)*H$4:H134)</f>
        <v>21.42</v>
      </c>
    </row>
    <row r="135" spans="1:11" ht="15" customHeight="1" x14ac:dyDescent="0.45">
      <c r="A135" s="17" t="str">
        <f>Raw_Export_Clean!A135</f>
        <v>Aug-23</v>
      </c>
      <c r="B135" s="17" t="str">
        <f>Raw_Export_Clean!B135</f>
        <v>FY24</v>
      </c>
      <c r="C135" s="17" t="str">
        <f>Raw_Export_Clean!C135</f>
        <v>Q2</v>
      </c>
      <c r="D135" s="17" t="str">
        <f>Raw_Export_Clean!D135</f>
        <v>Cost</v>
      </c>
      <c r="E135" s="17" t="str">
        <f>Raw_Export_Clean!E135</f>
        <v>Operations</v>
      </c>
      <c r="F135" s="18">
        <f>Raw_Export_Clean!F135</f>
        <v>96.8</v>
      </c>
      <c r="G135" s="18">
        <f>Raw_Export_Clean!G135</f>
        <v>102.61</v>
      </c>
      <c r="H135" s="18">
        <f t="shared" si="12"/>
        <v>5.8100000000000023</v>
      </c>
      <c r="I135" s="19">
        <f t="shared" si="13"/>
        <v>6.002066115702482E-2</v>
      </c>
      <c r="J135" s="21" t="str">
        <f t="shared" si="14"/>
        <v>RED</v>
      </c>
      <c r="K135" s="18">
        <f>SUMPRODUCT((B$4:B135=B135)*(E$4:E135=E135)*H$4:H135)</f>
        <v>26.149999999999991</v>
      </c>
    </row>
    <row r="136" spans="1:11" ht="15" customHeight="1" x14ac:dyDescent="0.45">
      <c r="A136" s="13" t="str">
        <f>Raw_Export_Clean!A136</f>
        <v>Aug-23</v>
      </c>
      <c r="B136" s="13" t="str">
        <f>Raw_Export_Clean!B136</f>
        <v>FY24</v>
      </c>
      <c r="C136" s="13" t="str">
        <f>Raw_Export_Clean!C136</f>
        <v>Q2</v>
      </c>
      <c r="D136" s="13" t="str">
        <f>Raw_Export_Clean!D136</f>
        <v>Cost</v>
      </c>
      <c r="E136" s="13" t="str">
        <f>Raw_Export_Clean!E136</f>
        <v>Sales</v>
      </c>
      <c r="F136" s="14">
        <f>Raw_Export_Clean!F136</f>
        <v>22</v>
      </c>
      <c r="G136" s="14">
        <f>Raw_Export_Clean!G136</f>
        <v>21.56</v>
      </c>
      <c r="H136" s="14">
        <f t="shared" si="12"/>
        <v>-0.44000000000000128</v>
      </c>
      <c r="I136" s="15">
        <f t="shared" si="13"/>
        <v>-2.0000000000000059E-2</v>
      </c>
      <c r="J136" s="16" t="str">
        <f t="shared" si="14"/>
        <v>GREEN</v>
      </c>
      <c r="K136" s="14">
        <f>SUMPRODUCT((B$4:B136=B136)*(E$4:E136=E136)*H$4:H136)</f>
        <v>0.16999999999999815</v>
      </c>
    </row>
    <row r="137" spans="1:11" ht="15" customHeight="1" x14ac:dyDescent="0.45">
      <c r="A137" s="17" t="str">
        <f>Raw_Export_Clean!A137</f>
        <v>Aug-23</v>
      </c>
      <c r="B137" s="17" t="str">
        <f>Raw_Export_Clean!B137</f>
        <v>FY24</v>
      </c>
      <c r="C137" s="17" t="str">
        <f>Raw_Export_Clean!C137</f>
        <v>Q2</v>
      </c>
      <c r="D137" s="17" t="str">
        <f>Raw_Export_Clean!D137</f>
        <v>Cost</v>
      </c>
      <c r="E137" s="17" t="str">
        <f>Raw_Export_Clean!E137</f>
        <v>Marketing</v>
      </c>
      <c r="F137" s="18">
        <f>Raw_Export_Clean!F137</f>
        <v>18</v>
      </c>
      <c r="G137" s="18">
        <f>Raw_Export_Clean!G137</f>
        <v>19.98</v>
      </c>
      <c r="H137" s="18">
        <f t="shared" si="12"/>
        <v>1.9800000000000004</v>
      </c>
      <c r="I137" s="19">
        <f t="shared" si="13"/>
        <v>0.11000000000000003</v>
      </c>
      <c r="J137" s="21" t="str">
        <f t="shared" si="14"/>
        <v>RED</v>
      </c>
      <c r="K137" s="18">
        <f>SUMPRODUCT((B$4:B137=B137)*(E$4:E137=E137)*H$4:H137)</f>
        <v>8.3300000000000018</v>
      </c>
    </row>
    <row r="138" spans="1:11" ht="15" customHeight="1" x14ac:dyDescent="0.45">
      <c r="A138" s="13" t="str">
        <f>Raw_Export_Clean!A138</f>
        <v>Aug-23</v>
      </c>
      <c r="B138" s="13" t="str">
        <f>Raw_Export_Clean!B138</f>
        <v>FY24</v>
      </c>
      <c r="C138" s="13" t="str">
        <f>Raw_Export_Clean!C138</f>
        <v>Q2</v>
      </c>
      <c r="D138" s="13" t="str">
        <f>Raw_Export_Clean!D138</f>
        <v>Cost</v>
      </c>
      <c r="E138" s="13" t="str">
        <f>Raw_Export_Clean!E138</f>
        <v>HR</v>
      </c>
      <c r="F138" s="14">
        <f>Raw_Export_Clean!F138</f>
        <v>13.2</v>
      </c>
      <c r="G138" s="14">
        <f>Raw_Export_Clean!G138</f>
        <v>13.73</v>
      </c>
      <c r="H138" s="14">
        <f t="shared" si="12"/>
        <v>0.53000000000000114</v>
      </c>
      <c r="I138" s="15">
        <f t="shared" si="13"/>
        <v>4.0151515151515237E-2</v>
      </c>
      <c r="J138" s="20" t="str">
        <f t="shared" si="14"/>
        <v>AMBER</v>
      </c>
      <c r="K138" s="14">
        <f>SUMPRODUCT((B$4:B138=B138)*(E$4:E138=E138)*H$4:H138)</f>
        <v>2.3499999999999996</v>
      </c>
    </row>
    <row r="139" spans="1:11" ht="15" customHeight="1" x14ac:dyDescent="0.45">
      <c r="A139" s="17" t="str">
        <f>Raw_Export_Clean!A139</f>
        <v>Aug-23</v>
      </c>
      <c r="B139" s="17" t="str">
        <f>Raw_Export_Clean!B139</f>
        <v>FY24</v>
      </c>
      <c r="C139" s="17" t="str">
        <f>Raw_Export_Clean!C139</f>
        <v>Q2</v>
      </c>
      <c r="D139" s="17" t="str">
        <f>Raw_Export_Clean!D139</f>
        <v>Cost</v>
      </c>
      <c r="E139" s="17" t="str">
        <f>Raw_Export_Clean!E139</f>
        <v>Finance &amp; Admin</v>
      </c>
      <c r="F139" s="18">
        <f>Raw_Export_Clean!F139</f>
        <v>8.8000000000000007</v>
      </c>
      <c r="G139" s="18">
        <f>Raw_Export_Clean!G139</f>
        <v>8.89</v>
      </c>
      <c r="H139" s="18">
        <f t="shared" si="12"/>
        <v>8.9999999999999858E-2</v>
      </c>
      <c r="I139" s="19">
        <f t="shared" si="13"/>
        <v>1.022727272727271E-2</v>
      </c>
      <c r="J139" s="20" t="str">
        <f t="shared" si="14"/>
        <v>AMBER</v>
      </c>
      <c r="K139" s="18">
        <f>SUMPRODUCT((B$4:B139=B139)*(E$4:E139=E139)*H$4:H139)</f>
        <v>0.42999999999999972</v>
      </c>
    </row>
    <row r="140" spans="1:11" ht="15" customHeight="1" x14ac:dyDescent="0.45">
      <c r="A140" s="13" t="str">
        <f>Raw_Export_Clean!A140</f>
        <v>Sep-23</v>
      </c>
      <c r="B140" s="13" t="str">
        <f>Raw_Export_Clean!B140</f>
        <v>FY24</v>
      </c>
      <c r="C140" s="13" t="str">
        <f>Raw_Export_Clean!C140</f>
        <v>Q2</v>
      </c>
      <c r="D140" s="13" t="str">
        <f>Raw_Export_Clean!D140</f>
        <v>Revenue</v>
      </c>
      <c r="E140" s="13" t="str">
        <f>Raw_Export_Clean!E140</f>
        <v>Product A</v>
      </c>
      <c r="F140" s="14">
        <f>Raw_Export_Clean!F140</f>
        <v>110.4</v>
      </c>
      <c r="G140" s="14">
        <f>Raw_Export_Clean!G140</f>
        <v>114.82</v>
      </c>
      <c r="H140" s="14">
        <f t="shared" si="12"/>
        <v>4.4199999999999875</v>
      </c>
      <c r="I140" s="15">
        <f t="shared" si="13"/>
        <v>4.0036231884057853E-2</v>
      </c>
      <c r="J140" s="16" t="str">
        <f t="shared" si="14"/>
        <v>GREEN</v>
      </c>
      <c r="K140" s="14">
        <f>SUMPRODUCT((B$4:B140=B140)*(E$4:E140=E140)*H$4:H140)</f>
        <v>18.629999999999981</v>
      </c>
    </row>
    <row r="141" spans="1:11" ht="15" customHeight="1" x14ac:dyDescent="0.45">
      <c r="A141" s="17" t="str">
        <f>Raw_Export_Clean!A141</f>
        <v>Sep-23</v>
      </c>
      <c r="B141" s="17" t="str">
        <f>Raw_Export_Clean!B141</f>
        <v>FY24</v>
      </c>
      <c r="C141" s="17" t="str">
        <f>Raw_Export_Clean!C141</f>
        <v>Q2</v>
      </c>
      <c r="D141" s="17" t="str">
        <f>Raw_Export_Clean!D141</f>
        <v>Revenue</v>
      </c>
      <c r="E141" s="17" t="str">
        <f>Raw_Export_Clean!E141</f>
        <v>Product B</v>
      </c>
      <c r="F141" s="18">
        <f>Raw_Export_Clean!F141</f>
        <v>61.6</v>
      </c>
      <c r="G141" s="18">
        <f>Raw_Export_Clean!G141</f>
        <v>54.21</v>
      </c>
      <c r="H141" s="18">
        <f t="shared" si="12"/>
        <v>-7.3900000000000006</v>
      </c>
      <c r="I141" s="19">
        <f t="shared" si="13"/>
        <v>-0.11996753246753247</v>
      </c>
      <c r="J141" s="21" t="str">
        <f t="shared" si="14"/>
        <v>RED</v>
      </c>
      <c r="K141" s="18">
        <f>SUMPRODUCT((B$4:B141=B141)*(E$4:E141=E141)*H$4:H141)</f>
        <v>-39.97</v>
      </c>
    </row>
    <row r="142" spans="1:11" ht="15" customHeight="1" x14ac:dyDescent="0.45">
      <c r="A142" s="13" t="str">
        <f>Raw_Export_Clean!A142</f>
        <v>Sep-23</v>
      </c>
      <c r="B142" s="13" t="str">
        <f>Raw_Export_Clean!B142</f>
        <v>FY24</v>
      </c>
      <c r="C142" s="13" t="str">
        <f>Raw_Export_Clean!C142</f>
        <v>Q2</v>
      </c>
      <c r="D142" s="13" t="str">
        <f>Raw_Export_Clean!D142</f>
        <v>Revenue</v>
      </c>
      <c r="E142" s="13" t="str">
        <f>Raw_Export_Clean!E142</f>
        <v>Services</v>
      </c>
      <c r="F142" s="14">
        <f>Raw_Export_Clean!F142</f>
        <v>48</v>
      </c>
      <c r="G142" s="14">
        <f>Raw_Export_Clean!G142</f>
        <v>53.76</v>
      </c>
      <c r="H142" s="14">
        <f t="shared" si="12"/>
        <v>5.759999999999998</v>
      </c>
      <c r="I142" s="15">
        <f t="shared" si="13"/>
        <v>0.11999999999999995</v>
      </c>
      <c r="J142" s="16" t="str">
        <f t="shared" si="14"/>
        <v>GREEN</v>
      </c>
      <c r="K142" s="14">
        <f>SUMPRODUCT((B$4:B142=B142)*(E$4:E142=E142)*H$4:H142)</f>
        <v>27.18</v>
      </c>
    </row>
    <row r="143" spans="1:11" ht="15" customHeight="1" x14ac:dyDescent="0.45">
      <c r="A143" s="17" t="str">
        <f>Raw_Export_Clean!A143</f>
        <v>Sep-23</v>
      </c>
      <c r="B143" s="17" t="str">
        <f>Raw_Export_Clean!B143</f>
        <v>FY24</v>
      </c>
      <c r="C143" s="17" t="str">
        <f>Raw_Export_Clean!C143</f>
        <v>Q2</v>
      </c>
      <c r="D143" s="17" t="str">
        <f>Raw_Export_Clean!D143</f>
        <v>Cost</v>
      </c>
      <c r="E143" s="17" t="str">
        <f>Raw_Export_Clean!E143</f>
        <v>Operations</v>
      </c>
      <c r="F143" s="18">
        <f>Raw_Export_Clean!F143</f>
        <v>96.8</v>
      </c>
      <c r="G143" s="18">
        <f>Raw_Export_Clean!G143</f>
        <v>104.54</v>
      </c>
      <c r="H143" s="18">
        <f t="shared" si="12"/>
        <v>7.7400000000000091</v>
      </c>
      <c r="I143" s="19">
        <f t="shared" si="13"/>
        <v>7.9958677685950511E-2</v>
      </c>
      <c r="J143" s="21" t="str">
        <f t="shared" si="14"/>
        <v>RED</v>
      </c>
      <c r="K143" s="18">
        <f>SUMPRODUCT((B$4:B143=B143)*(E$4:E143=E143)*H$4:H143)</f>
        <v>33.89</v>
      </c>
    </row>
    <row r="144" spans="1:11" ht="15" customHeight="1" x14ac:dyDescent="0.45">
      <c r="A144" s="13" t="str">
        <f>Raw_Export_Clean!A144</f>
        <v>Sep-23</v>
      </c>
      <c r="B144" s="13" t="str">
        <f>Raw_Export_Clean!B144</f>
        <v>FY24</v>
      </c>
      <c r="C144" s="13" t="str">
        <f>Raw_Export_Clean!C144</f>
        <v>Q2</v>
      </c>
      <c r="D144" s="13" t="str">
        <f>Raw_Export_Clean!D144</f>
        <v>Cost</v>
      </c>
      <c r="E144" s="13" t="str">
        <f>Raw_Export_Clean!E144</f>
        <v>Sales</v>
      </c>
      <c r="F144" s="14">
        <f>Raw_Export_Clean!F144</f>
        <v>22</v>
      </c>
      <c r="G144" s="14">
        <f>Raw_Export_Clean!G144</f>
        <v>22.44</v>
      </c>
      <c r="H144" s="14">
        <f t="shared" si="12"/>
        <v>0.44000000000000128</v>
      </c>
      <c r="I144" s="15">
        <f t="shared" si="13"/>
        <v>2.0000000000000059E-2</v>
      </c>
      <c r="J144" s="20" t="str">
        <f t="shared" si="14"/>
        <v>AMBER</v>
      </c>
      <c r="K144" s="14">
        <f>SUMPRODUCT((B$4:B144=B144)*(E$4:E144=E144)*H$4:H144)</f>
        <v>0.60999999999999943</v>
      </c>
    </row>
    <row r="145" spans="1:11" ht="15" customHeight="1" x14ac:dyDescent="0.45">
      <c r="A145" s="17" t="str">
        <f>Raw_Export_Clean!A145</f>
        <v>Sep-23</v>
      </c>
      <c r="B145" s="17" t="str">
        <f>Raw_Export_Clean!B145</f>
        <v>FY24</v>
      </c>
      <c r="C145" s="17" t="str">
        <f>Raw_Export_Clean!C145</f>
        <v>Q2</v>
      </c>
      <c r="D145" s="17" t="str">
        <f>Raw_Export_Clean!D145</f>
        <v>Cost</v>
      </c>
      <c r="E145" s="17" t="str">
        <f>Raw_Export_Clean!E145</f>
        <v>Marketing</v>
      </c>
      <c r="F145" s="18">
        <f>Raw_Export_Clean!F145</f>
        <v>18</v>
      </c>
      <c r="G145" s="18">
        <f>Raw_Export_Clean!G145</f>
        <v>20.34</v>
      </c>
      <c r="H145" s="18">
        <f t="shared" si="12"/>
        <v>2.34</v>
      </c>
      <c r="I145" s="19">
        <f t="shared" si="13"/>
        <v>0.13</v>
      </c>
      <c r="J145" s="21" t="str">
        <f t="shared" si="14"/>
        <v>RED</v>
      </c>
      <c r="K145" s="18">
        <f>SUMPRODUCT((B$4:B145=B145)*(E$4:E145=E145)*H$4:H145)</f>
        <v>10.670000000000002</v>
      </c>
    </row>
    <row r="146" spans="1:11" ht="15" customHeight="1" x14ac:dyDescent="0.45">
      <c r="A146" s="13" t="str">
        <f>Raw_Export_Clean!A146</f>
        <v>Sep-23</v>
      </c>
      <c r="B146" s="13" t="str">
        <f>Raw_Export_Clean!B146</f>
        <v>FY24</v>
      </c>
      <c r="C146" s="13" t="str">
        <f>Raw_Export_Clean!C146</f>
        <v>Q2</v>
      </c>
      <c r="D146" s="13" t="str">
        <f>Raw_Export_Clean!D146</f>
        <v>Cost</v>
      </c>
      <c r="E146" s="13" t="str">
        <f>Raw_Export_Clean!E146</f>
        <v>HR</v>
      </c>
      <c r="F146" s="14">
        <f>Raw_Export_Clean!F146</f>
        <v>13.2</v>
      </c>
      <c r="G146" s="14">
        <f>Raw_Export_Clean!G146</f>
        <v>13.73</v>
      </c>
      <c r="H146" s="14">
        <f t="shared" si="12"/>
        <v>0.53000000000000114</v>
      </c>
      <c r="I146" s="15">
        <f t="shared" si="13"/>
        <v>4.0151515151515237E-2</v>
      </c>
      <c r="J146" s="20" t="str">
        <f t="shared" si="14"/>
        <v>AMBER</v>
      </c>
      <c r="K146" s="14">
        <f>SUMPRODUCT((B$4:B146=B146)*(E$4:E146=E146)*H$4:H146)</f>
        <v>2.8800000000000008</v>
      </c>
    </row>
    <row r="147" spans="1:11" ht="15" customHeight="1" x14ac:dyDescent="0.45">
      <c r="A147" s="17" t="str">
        <f>Raw_Export_Clean!A147</f>
        <v>Sep-23</v>
      </c>
      <c r="B147" s="17" t="str">
        <f>Raw_Export_Clean!B147</f>
        <v>FY24</v>
      </c>
      <c r="C147" s="17" t="str">
        <f>Raw_Export_Clean!C147</f>
        <v>Q2</v>
      </c>
      <c r="D147" s="17" t="str">
        <f>Raw_Export_Clean!D147</f>
        <v>Cost</v>
      </c>
      <c r="E147" s="17" t="str">
        <f>Raw_Export_Clean!E147</f>
        <v>Finance &amp; Admin</v>
      </c>
      <c r="F147" s="18">
        <f>Raw_Export_Clean!F147</f>
        <v>8.8000000000000007</v>
      </c>
      <c r="G147" s="18">
        <f>Raw_Export_Clean!G147</f>
        <v>8.8000000000000007</v>
      </c>
      <c r="H147" s="18">
        <f t="shared" si="12"/>
        <v>0</v>
      </c>
      <c r="I147" s="19">
        <f t="shared" si="13"/>
        <v>0</v>
      </c>
      <c r="J147" s="20" t="str">
        <f t="shared" si="14"/>
        <v>AMBER</v>
      </c>
      <c r="K147" s="18">
        <f>SUMPRODUCT((B$4:B147=B147)*(E$4:E147=E147)*H$4:H147)</f>
        <v>0.42999999999999972</v>
      </c>
    </row>
    <row r="148" spans="1:11" ht="15" customHeight="1" x14ac:dyDescent="0.45">
      <c r="A148" s="13" t="str">
        <f>Raw_Export_Clean!A148</f>
        <v>Oct-23</v>
      </c>
      <c r="B148" s="13" t="str">
        <f>Raw_Export_Clean!B148</f>
        <v>FY24</v>
      </c>
      <c r="C148" s="13" t="str">
        <f>Raw_Export_Clean!C148</f>
        <v>Q3</v>
      </c>
      <c r="D148" s="13" t="str">
        <f>Raw_Export_Clean!D148</f>
        <v>Revenue</v>
      </c>
      <c r="E148" s="13" t="str">
        <f>Raw_Export_Clean!E148</f>
        <v>Product A</v>
      </c>
      <c r="F148" s="14">
        <f>Raw_Export_Clean!F148</f>
        <v>138</v>
      </c>
      <c r="G148" s="14">
        <f>Raw_Export_Clean!G148</f>
        <v>144.9</v>
      </c>
      <c r="H148" s="14">
        <f t="shared" si="12"/>
        <v>6.9000000000000057</v>
      </c>
      <c r="I148" s="15">
        <f t="shared" si="13"/>
        <v>5.0000000000000044E-2</v>
      </c>
      <c r="J148" s="16" t="str">
        <f t="shared" si="14"/>
        <v>GREEN</v>
      </c>
      <c r="K148" s="14">
        <f>SUMPRODUCT((B$4:B148=B148)*(E$4:E148=E148)*H$4:H148)</f>
        <v>25.529999999999987</v>
      </c>
    </row>
    <row r="149" spans="1:11" ht="15" customHeight="1" x14ac:dyDescent="0.45">
      <c r="A149" s="17" t="str">
        <f>Raw_Export_Clean!A149</f>
        <v>Oct-23</v>
      </c>
      <c r="B149" s="17" t="str">
        <f>Raw_Export_Clean!B149</f>
        <v>FY24</v>
      </c>
      <c r="C149" s="17" t="str">
        <f>Raw_Export_Clean!C149</f>
        <v>Q3</v>
      </c>
      <c r="D149" s="17" t="str">
        <f>Raw_Export_Clean!D149</f>
        <v>Revenue</v>
      </c>
      <c r="E149" s="17" t="str">
        <f>Raw_Export_Clean!E149</f>
        <v>Product B</v>
      </c>
      <c r="F149" s="18">
        <f>Raw_Export_Clean!F149</f>
        <v>77</v>
      </c>
      <c r="G149" s="18">
        <f>Raw_Export_Clean!G149</f>
        <v>66.22</v>
      </c>
      <c r="H149" s="18">
        <f t="shared" si="12"/>
        <v>-10.780000000000001</v>
      </c>
      <c r="I149" s="19">
        <f t="shared" si="13"/>
        <v>-0.14000000000000001</v>
      </c>
      <c r="J149" s="21" t="str">
        <f t="shared" si="14"/>
        <v>RED</v>
      </c>
      <c r="K149" s="18">
        <f>SUMPRODUCT((B$4:B149=B149)*(E$4:E149=E149)*H$4:H149)</f>
        <v>-50.75</v>
      </c>
    </row>
    <row r="150" spans="1:11" ht="15" customHeight="1" x14ac:dyDescent="0.45">
      <c r="A150" s="13" t="str">
        <f>Raw_Export_Clean!A150</f>
        <v>Oct-23</v>
      </c>
      <c r="B150" s="13" t="str">
        <f>Raw_Export_Clean!B150</f>
        <v>FY24</v>
      </c>
      <c r="C150" s="13" t="str">
        <f>Raw_Export_Clean!C150</f>
        <v>Q3</v>
      </c>
      <c r="D150" s="13" t="str">
        <f>Raw_Export_Clean!D150</f>
        <v>Revenue</v>
      </c>
      <c r="E150" s="13" t="str">
        <f>Raw_Export_Clean!E150</f>
        <v>Services</v>
      </c>
      <c r="F150" s="14">
        <f>Raw_Export_Clean!F150</f>
        <v>60</v>
      </c>
      <c r="G150" s="14">
        <f>Raw_Export_Clean!G150</f>
        <v>67.8</v>
      </c>
      <c r="H150" s="14">
        <f t="shared" si="12"/>
        <v>7.7999999999999972</v>
      </c>
      <c r="I150" s="15">
        <f t="shared" si="13"/>
        <v>0.12999999999999995</v>
      </c>
      <c r="J150" s="16" t="str">
        <f t="shared" si="14"/>
        <v>GREEN</v>
      </c>
      <c r="K150" s="14">
        <f>SUMPRODUCT((B$4:B150=B150)*(E$4:E150=E150)*H$4:H150)</f>
        <v>34.979999999999997</v>
      </c>
    </row>
    <row r="151" spans="1:11" ht="15" customHeight="1" x14ac:dyDescent="0.45">
      <c r="A151" s="17" t="str">
        <f>Raw_Export_Clean!A151</f>
        <v>Oct-23</v>
      </c>
      <c r="B151" s="17" t="str">
        <f>Raw_Export_Clean!B151</f>
        <v>FY24</v>
      </c>
      <c r="C151" s="17" t="str">
        <f>Raw_Export_Clean!C151</f>
        <v>Q3</v>
      </c>
      <c r="D151" s="17" t="str">
        <f>Raw_Export_Clean!D151</f>
        <v>Cost</v>
      </c>
      <c r="E151" s="17" t="str">
        <f>Raw_Export_Clean!E151</f>
        <v>Operations</v>
      </c>
      <c r="F151" s="18">
        <f>Raw_Export_Clean!F151</f>
        <v>121</v>
      </c>
      <c r="G151" s="18">
        <f>Raw_Export_Clean!G151</f>
        <v>129.47</v>
      </c>
      <c r="H151" s="18">
        <f t="shared" si="12"/>
        <v>8.4699999999999989</v>
      </c>
      <c r="I151" s="19">
        <f t="shared" si="13"/>
        <v>6.9999999999999993E-2</v>
      </c>
      <c r="J151" s="21" t="str">
        <f t="shared" si="14"/>
        <v>RED</v>
      </c>
      <c r="K151" s="18">
        <f>SUMPRODUCT((B$4:B151=B151)*(E$4:E151=E151)*H$4:H151)</f>
        <v>42.36</v>
      </c>
    </row>
    <row r="152" spans="1:11" ht="15" customHeight="1" x14ac:dyDescent="0.45">
      <c r="A152" s="13" t="str">
        <f>Raw_Export_Clean!A152</f>
        <v>Oct-23</v>
      </c>
      <c r="B152" s="13" t="str">
        <f>Raw_Export_Clean!B152</f>
        <v>FY24</v>
      </c>
      <c r="C152" s="13" t="str">
        <f>Raw_Export_Clean!C152</f>
        <v>Q3</v>
      </c>
      <c r="D152" s="13" t="str">
        <f>Raw_Export_Clean!D152</f>
        <v>Cost</v>
      </c>
      <c r="E152" s="13" t="str">
        <f>Raw_Export_Clean!E152</f>
        <v>Sales</v>
      </c>
      <c r="F152" s="14">
        <f>Raw_Export_Clean!F152</f>
        <v>27.5</v>
      </c>
      <c r="G152" s="14">
        <f>Raw_Export_Clean!G152</f>
        <v>28.32</v>
      </c>
      <c r="H152" s="14">
        <f t="shared" si="12"/>
        <v>0.82000000000000028</v>
      </c>
      <c r="I152" s="15">
        <f t="shared" si="13"/>
        <v>2.9818181818181827E-2</v>
      </c>
      <c r="J152" s="20" t="str">
        <f t="shared" si="14"/>
        <v>AMBER</v>
      </c>
      <c r="K152" s="14">
        <f>SUMPRODUCT((B$4:B152=B152)*(E$4:E152=E152)*H$4:H152)</f>
        <v>1.4299999999999997</v>
      </c>
    </row>
    <row r="153" spans="1:11" ht="15" customHeight="1" x14ac:dyDescent="0.45">
      <c r="A153" s="17" t="str">
        <f>Raw_Export_Clean!A153</f>
        <v>Oct-23</v>
      </c>
      <c r="B153" s="17" t="str">
        <f>Raw_Export_Clean!B153</f>
        <v>FY24</v>
      </c>
      <c r="C153" s="17" t="str">
        <f>Raw_Export_Clean!C153</f>
        <v>Q3</v>
      </c>
      <c r="D153" s="17" t="str">
        <f>Raw_Export_Clean!D153</f>
        <v>Cost</v>
      </c>
      <c r="E153" s="17" t="str">
        <f>Raw_Export_Clean!E153</f>
        <v>Marketing</v>
      </c>
      <c r="F153" s="18">
        <f>Raw_Export_Clean!F153</f>
        <v>22.5</v>
      </c>
      <c r="G153" s="18">
        <f>Raw_Export_Clean!G153</f>
        <v>24.75</v>
      </c>
      <c r="H153" s="18">
        <f t="shared" si="12"/>
        <v>2.25</v>
      </c>
      <c r="I153" s="19">
        <f t="shared" si="13"/>
        <v>0.1</v>
      </c>
      <c r="J153" s="21" t="str">
        <f t="shared" si="14"/>
        <v>RED</v>
      </c>
      <c r="K153" s="18">
        <f>SUMPRODUCT((B$4:B153=B153)*(E$4:E153=E153)*H$4:H153)</f>
        <v>12.920000000000002</v>
      </c>
    </row>
    <row r="154" spans="1:11" ht="15" customHeight="1" x14ac:dyDescent="0.45">
      <c r="A154" s="13" t="str">
        <f>Raw_Export_Clean!A154</f>
        <v>Oct-23</v>
      </c>
      <c r="B154" s="13" t="str">
        <f>Raw_Export_Clean!B154</f>
        <v>FY24</v>
      </c>
      <c r="C154" s="13" t="str">
        <f>Raw_Export_Clean!C154</f>
        <v>Q3</v>
      </c>
      <c r="D154" s="13" t="str">
        <f>Raw_Export_Clean!D154</f>
        <v>Cost</v>
      </c>
      <c r="E154" s="13" t="str">
        <f>Raw_Export_Clean!E154</f>
        <v>HR</v>
      </c>
      <c r="F154" s="14">
        <f>Raw_Export_Clean!F154</f>
        <v>16.5</v>
      </c>
      <c r="G154" s="14">
        <f>Raw_Export_Clean!G154</f>
        <v>17.32</v>
      </c>
      <c r="H154" s="14">
        <f t="shared" si="12"/>
        <v>0.82000000000000028</v>
      </c>
      <c r="I154" s="15">
        <f t="shared" si="13"/>
        <v>4.9696969696969712E-2</v>
      </c>
      <c r="J154" s="20" t="str">
        <f t="shared" si="14"/>
        <v>AMBER</v>
      </c>
      <c r="K154" s="14">
        <f>SUMPRODUCT((B$4:B154=B154)*(E$4:E154=E154)*H$4:H154)</f>
        <v>3.7000000000000011</v>
      </c>
    </row>
    <row r="155" spans="1:11" ht="15" customHeight="1" x14ac:dyDescent="0.45">
      <c r="A155" s="17" t="str">
        <f>Raw_Export_Clean!A155</f>
        <v>Oct-23</v>
      </c>
      <c r="B155" s="17" t="str">
        <f>Raw_Export_Clean!B155</f>
        <v>FY24</v>
      </c>
      <c r="C155" s="17" t="str">
        <f>Raw_Export_Clean!C155</f>
        <v>Q3</v>
      </c>
      <c r="D155" s="17" t="str">
        <f>Raw_Export_Clean!D155</f>
        <v>Cost</v>
      </c>
      <c r="E155" s="17" t="str">
        <f>Raw_Export_Clean!E155</f>
        <v>Finance &amp; Admin</v>
      </c>
      <c r="F155" s="18">
        <f>Raw_Export_Clean!F155</f>
        <v>11</v>
      </c>
      <c r="G155" s="18">
        <f>Raw_Export_Clean!G155</f>
        <v>11.11</v>
      </c>
      <c r="H155" s="18">
        <f t="shared" si="12"/>
        <v>0.10999999999999943</v>
      </c>
      <c r="I155" s="19">
        <f t="shared" si="13"/>
        <v>9.9999999999999482E-3</v>
      </c>
      <c r="J155" s="20" t="str">
        <f t="shared" si="14"/>
        <v>AMBER</v>
      </c>
      <c r="K155" s="18">
        <f>SUMPRODUCT((B$4:B155=B155)*(E$4:E155=E155)*H$4:H155)</f>
        <v>0.53999999999999915</v>
      </c>
    </row>
    <row r="156" spans="1:11" ht="15" customHeight="1" x14ac:dyDescent="0.45">
      <c r="A156" s="13" t="str">
        <f>Raw_Export_Clean!A156</f>
        <v>Nov-23</v>
      </c>
      <c r="B156" s="13" t="str">
        <f>Raw_Export_Clean!B156</f>
        <v>FY24</v>
      </c>
      <c r="C156" s="13" t="str">
        <f>Raw_Export_Clean!C156</f>
        <v>Q3</v>
      </c>
      <c r="D156" s="13" t="str">
        <f>Raw_Export_Clean!D156</f>
        <v>Revenue</v>
      </c>
      <c r="E156" s="13" t="str">
        <f>Raw_Export_Clean!E156</f>
        <v>Product A</v>
      </c>
      <c r="F156" s="14">
        <f>Raw_Export_Clean!F156</f>
        <v>151.80000000000001</v>
      </c>
      <c r="G156" s="14">
        <f>Raw_Export_Clean!G156</f>
        <v>160.91</v>
      </c>
      <c r="H156" s="14">
        <f t="shared" si="12"/>
        <v>9.1099999999999852</v>
      </c>
      <c r="I156" s="15">
        <f t="shared" si="13"/>
        <v>6.0013175230566436E-2</v>
      </c>
      <c r="J156" s="16" t="str">
        <f t="shared" si="14"/>
        <v>GREEN</v>
      </c>
      <c r="K156" s="14">
        <f>SUMPRODUCT((B$4:B156=B156)*(E$4:E156=E156)*H$4:H156)</f>
        <v>34.639999999999972</v>
      </c>
    </row>
    <row r="157" spans="1:11" ht="15" customHeight="1" x14ac:dyDescent="0.45">
      <c r="A157" s="17" t="str">
        <f>Raw_Export_Clean!A157</f>
        <v>Nov-23</v>
      </c>
      <c r="B157" s="17" t="str">
        <f>Raw_Export_Clean!B157</f>
        <v>FY24</v>
      </c>
      <c r="C157" s="17" t="str">
        <f>Raw_Export_Clean!C157</f>
        <v>Q3</v>
      </c>
      <c r="D157" s="17" t="str">
        <f>Raw_Export_Clean!D157</f>
        <v>Revenue</v>
      </c>
      <c r="E157" s="17" t="str">
        <f>Raw_Export_Clean!E157</f>
        <v>Product B</v>
      </c>
      <c r="F157" s="18">
        <f>Raw_Export_Clean!F157</f>
        <v>84.7</v>
      </c>
      <c r="G157" s="18">
        <f>Raw_Export_Clean!G157</f>
        <v>73.69</v>
      </c>
      <c r="H157" s="18">
        <f t="shared" si="12"/>
        <v>-11.010000000000005</v>
      </c>
      <c r="I157" s="19">
        <f t="shared" si="13"/>
        <v>-0.12998819362455732</v>
      </c>
      <c r="J157" s="21" t="str">
        <f t="shared" si="14"/>
        <v>RED</v>
      </c>
      <c r="K157" s="18">
        <f>SUMPRODUCT((B$4:B157=B157)*(E$4:E157=E157)*H$4:H157)</f>
        <v>-61.760000000000005</v>
      </c>
    </row>
    <row r="158" spans="1:11" ht="15" customHeight="1" x14ac:dyDescent="0.45">
      <c r="A158" s="13" t="str">
        <f>Raw_Export_Clean!A158</f>
        <v>Nov-23</v>
      </c>
      <c r="B158" s="13" t="str">
        <f>Raw_Export_Clean!B158</f>
        <v>FY24</v>
      </c>
      <c r="C158" s="13" t="str">
        <f>Raw_Export_Clean!C158</f>
        <v>Q3</v>
      </c>
      <c r="D158" s="13" t="str">
        <f>Raw_Export_Clean!D158</f>
        <v>Revenue</v>
      </c>
      <c r="E158" s="13" t="str">
        <f>Raw_Export_Clean!E158</f>
        <v>Services</v>
      </c>
      <c r="F158" s="14">
        <f>Raw_Export_Clean!F158</f>
        <v>66</v>
      </c>
      <c r="G158" s="14">
        <f>Raw_Export_Clean!G158</f>
        <v>73.92</v>
      </c>
      <c r="H158" s="14">
        <f t="shared" si="12"/>
        <v>7.9200000000000017</v>
      </c>
      <c r="I158" s="15">
        <f t="shared" si="13"/>
        <v>0.12000000000000002</v>
      </c>
      <c r="J158" s="16" t="str">
        <f t="shared" si="14"/>
        <v>GREEN</v>
      </c>
      <c r="K158" s="14">
        <f>SUMPRODUCT((B$4:B158=B158)*(E$4:E158=E158)*H$4:H158)</f>
        <v>42.9</v>
      </c>
    </row>
    <row r="159" spans="1:11" ht="15" customHeight="1" x14ac:dyDescent="0.45">
      <c r="A159" s="17" t="str">
        <f>Raw_Export_Clean!A159</f>
        <v>Nov-23</v>
      </c>
      <c r="B159" s="17" t="str">
        <f>Raw_Export_Clean!B159</f>
        <v>FY24</v>
      </c>
      <c r="C159" s="17" t="str">
        <f>Raw_Export_Clean!C159</f>
        <v>Q3</v>
      </c>
      <c r="D159" s="17" t="str">
        <f>Raw_Export_Clean!D159</f>
        <v>Cost</v>
      </c>
      <c r="E159" s="17" t="str">
        <f>Raw_Export_Clean!E159</f>
        <v>Operations</v>
      </c>
      <c r="F159" s="18">
        <f>Raw_Export_Clean!F159</f>
        <v>133.1</v>
      </c>
      <c r="G159" s="18">
        <f>Raw_Export_Clean!G159</f>
        <v>145.08000000000001</v>
      </c>
      <c r="H159" s="18">
        <f t="shared" si="12"/>
        <v>11.980000000000018</v>
      </c>
      <c r="I159" s="19">
        <f t="shared" si="13"/>
        <v>9.0007513148009158E-2</v>
      </c>
      <c r="J159" s="21" t="str">
        <f t="shared" si="14"/>
        <v>RED</v>
      </c>
      <c r="K159" s="18">
        <f>SUMPRODUCT((B$4:B159=B159)*(E$4:E159=E159)*H$4:H159)</f>
        <v>54.340000000000018</v>
      </c>
    </row>
    <row r="160" spans="1:11" ht="15" customHeight="1" x14ac:dyDescent="0.45">
      <c r="A160" s="13" t="str">
        <f>Raw_Export_Clean!A160</f>
        <v>Nov-23</v>
      </c>
      <c r="B160" s="13" t="str">
        <f>Raw_Export_Clean!B160</f>
        <v>FY24</v>
      </c>
      <c r="C160" s="13" t="str">
        <f>Raw_Export_Clean!C160</f>
        <v>Q3</v>
      </c>
      <c r="D160" s="13" t="str">
        <f>Raw_Export_Clean!D160</f>
        <v>Cost</v>
      </c>
      <c r="E160" s="13" t="str">
        <f>Raw_Export_Clean!E160</f>
        <v>Sales</v>
      </c>
      <c r="F160" s="14">
        <f>Raw_Export_Clean!F160</f>
        <v>30.25</v>
      </c>
      <c r="G160" s="14">
        <f>Raw_Export_Clean!G160</f>
        <v>30.86</v>
      </c>
      <c r="H160" s="14">
        <f t="shared" si="12"/>
        <v>0.60999999999999943</v>
      </c>
      <c r="I160" s="15">
        <f t="shared" si="13"/>
        <v>2.0165289256198329E-2</v>
      </c>
      <c r="J160" s="20" t="str">
        <f t="shared" si="14"/>
        <v>AMBER</v>
      </c>
      <c r="K160" s="14">
        <f>SUMPRODUCT((B$4:B160=B160)*(E$4:E160=E160)*H$4:H160)</f>
        <v>2.0399999999999991</v>
      </c>
    </row>
    <row r="161" spans="1:11" ht="15" customHeight="1" x14ac:dyDescent="0.45">
      <c r="A161" s="17" t="str">
        <f>Raw_Export_Clean!A161</f>
        <v>Nov-23</v>
      </c>
      <c r="B161" s="17" t="str">
        <f>Raw_Export_Clean!B161</f>
        <v>FY24</v>
      </c>
      <c r="C161" s="17" t="str">
        <f>Raw_Export_Clean!C161</f>
        <v>Q3</v>
      </c>
      <c r="D161" s="17" t="str">
        <f>Raw_Export_Clean!D161</f>
        <v>Cost</v>
      </c>
      <c r="E161" s="17" t="str">
        <f>Raw_Export_Clean!E161</f>
        <v>Marketing</v>
      </c>
      <c r="F161" s="18">
        <f>Raw_Export_Clean!F161</f>
        <v>24.75</v>
      </c>
      <c r="G161" s="18">
        <f>Raw_Export_Clean!G161</f>
        <v>27.72</v>
      </c>
      <c r="H161" s="18">
        <f t="shared" si="12"/>
        <v>2.9699999999999989</v>
      </c>
      <c r="I161" s="19">
        <f t="shared" si="13"/>
        <v>0.11999999999999995</v>
      </c>
      <c r="J161" s="21" t="str">
        <f t="shared" si="14"/>
        <v>RED</v>
      </c>
      <c r="K161" s="18">
        <f>SUMPRODUCT((B$4:B161=B161)*(E$4:E161=E161)*H$4:H161)</f>
        <v>15.89</v>
      </c>
    </row>
    <row r="162" spans="1:11" ht="15" customHeight="1" x14ac:dyDescent="0.45">
      <c r="A162" s="13" t="str">
        <f>Raw_Export_Clean!A162</f>
        <v>Nov-23</v>
      </c>
      <c r="B162" s="13" t="str">
        <f>Raw_Export_Clean!B162</f>
        <v>FY24</v>
      </c>
      <c r="C162" s="13" t="str">
        <f>Raw_Export_Clean!C162</f>
        <v>Q3</v>
      </c>
      <c r="D162" s="13" t="str">
        <f>Raw_Export_Clean!D162</f>
        <v>Cost</v>
      </c>
      <c r="E162" s="13" t="str">
        <f>Raw_Export_Clean!E162</f>
        <v>HR</v>
      </c>
      <c r="F162" s="14">
        <f>Raw_Export_Clean!F162</f>
        <v>18.149999999999999</v>
      </c>
      <c r="G162" s="14">
        <f>Raw_Export_Clean!G162</f>
        <v>19.239999999999998</v>
      </c>
      <c r="H162" s="14">
        <f t="shared" si="12"/>
        <v>1.0899999999999999</v>
      </c>
      <c r="I162" s="15">
        <f t="shared" si="13"/>
        <v>6.005509641873278E-2</v>
      </c>
      <c r="J162" s="21" t="str">
        <f t="shared" si="14"/>
        <v>RED</v>
      </c>
      <c r="K162" s="14">
        <f>SUMPRODUCT((B$4:B162=B162)*(E$4:E162=E162)*H$4:H162)</f>
        <v>4.7900000000000009</v>
      </c>
    </row>
    <row r="163" spans="1:11" ht="15" customHeight="1" x14ac:dyDescent="0.45">
      <c r="A163" s="17" t="str">
        <f>Raw_Export_Clean!A163</f>
        <v>Nov-23</v>
      </c>
      <c r="B163" s="17" t="str">
        <f>Raw_Export_Clean!B163</f>
        <v>FY24</v>
      </c>
      <c r="C163" s="17" t="str">
        <f>Raw_Export_Clean!C163</f>
        <v>Q3</v>
      </c>
      <c r="D163" s="17" t="str">
        <f>Raw_Export_Clean!D163</f>
        <v>Cost</v>
      </c>
      <c r="E163" s="17" t="str">
        <f>Raw_Export_Clean!E163</f>
        <v>Finance &amp; Admin</v>
      </c>
      <c r="F163" s="18">
        <f>Raw_Export_Clean!F163</f>
        <v>12.1</v>
      </c>
      <c r="G163" s="18">
        <f>Raw_Export_Clean!G163</f>
        <v>12.34</v>
      </c>
      <c r="H163" s="18">
        <f t="shared" si="12"/>
        <v>0.24000000000000021</v>
      </c>
      <c r="I163" s="19">
        <f t="shared" si="13"/>
        <v>1.9834710743801671E-2</v>
      </c>
      <c r="J163" s="20" t="str">
        <f t="shared" si="14"/>
        <v>AMBER</v>
      </c>
      <c r="K163" s="18">
        <f>SUMPRODUCT((B$4:B163=B163)*(E$4:E163=E163)*H$4:H163)</f>
        <v>0.77999999999999936</v>
      </c>
    </row>
    <row r="164" spans="1:11" ht="15" customHeight="1" x14ac:dyDescent="0.45">
      <c r="A164" s="13" t="str">
        <f>Raw_Export_Clean!A164</f>
        <v>Dec-23</v>
      </c>
      <c r="B164" s="13" t="str">
        <f>Raw_Export_Clean!B164</f>
        <v>FY24</v>
      </c>
      <c r="C164" s="13" t="str">
        <f>Raw_Export_Clean!C164</f>
        <v>Q3</v>
      </c>
      <c r="D164" s="13" t="str">
        <f>Raw_Export_Clean!D164</f>
        <v>Revenue</v>
      </c>
      <c r="E164" s="13" t="str">
        <f>Raw_Export_Clean!E164</f>
        <v>Product A</v>
      </c>
      <c r="F164" s="14">
        <f>Raw_Export_Clean!F164</f>
        <v>138</v>
      </c>
      <c r="G164" s="14">
        <f>Raw_Export_Clean!G164</f>
        <v>143.52000000000001</v>
      </c>
      <c r="H164" s="14">
        <f t="shared" ref="H164:H195" si="15">G164-F164</f>
        <v>5.5200000000000102</v>
      </c>
      <c r="I164" s="15">
        <f t="shared" ref="I164:I195" si="16">IF(F164&lt;&gt;0,(G164-F164)/F164,0)</f>
        <v>4.0000000000000077E-2</v>
      </c>
      <c r="J164" s="16" t="str">
        <f t="shared" ref="J164:J195" si="17">IF(D164="Revenue",IF(I164&gt;=0.02,"GREEN",IF(I164&gt;=-0.05,"AMBER","RED")),IF(I164&lt;=-0.02,"GREEN",IF(I164&lt;=0.05,"AMBER","RED")))</f>
        <v>GREEN</v>
      </c>
      <c r="K164" s="14">
        <f>SUMPRODUCT((B$4:B164=B164)*(E$4:E164=E164)*H$4:H164)</f>
        <v>40.159999999999982</v>
      </c>
    </row>
    <row r="165" spans="1:11" ht="15" customHeight="1" x14ac:dyDescent="0.45">
      <c r="A165" s="17" t="str">
        <f>Raw_Export_Clean!A165</f>
        <v>Dec-23</v>
      </c>
      <c r="B165" s="17" t="str">
        <f>Raw_Export_Clean!B165</f>
        <v>FY24</v>
      </c>
      <c r="C165" s="17" t="str">
        <f>Raw_Export_Clean!C165</f>
        <v>Q3</v>
      </c>
      <c r="D165" s="17" t="str">
        <f>Raw_Export_Clean!D165</f>
        <v>Revenue</v>
      </c>
      <c r="E165" s="17" t="str">
        <f>Raw_Export_Clean!E165</f>
        <v>Product B</v>
      </c>
      <c r="F165" s="18">
        <f>Raw_Export_Clean!F165</f>
        <v>77</v>
      </c>
      <c r="G165" s="18">
        <f>Raw_Export_Clean!G165</f>
        <v>65.45</v>
      </c>
      <c r="H165" s="18">
        <f t="shared" si="15"/>
        <v>-11.549999999999997</v>
      </c>
      <c r="I165" s="19">
        <f t="shared" si="16"/>
        <v>-0.14999999999999997</v>
      </c>
      <c r="J165" s="21" t="str">
        <f t="shared" si="17"/>
        <v>RED</v>
      </c>
      <c r="K165" s="18">
        <f>SUMPRODUCT((B$4:B165=B165)*(E$4:E165=E165)*H$4:H165)</f>
        <v>-73.31</v>
      </c>
    </row>
    <row r="166" spans="1:11" ht="15" customHeight="1" x14ac:dyDescent="0.45">
      <c r="A166" s="13" t="str">
        <f>Raw_Export_Clean!A166</f>
        <v>Dec-23</v>
      </c>
      <c r="B166" s="13" t="str">
        <f>Raw_Export_Clean!B166</f>
        <v>FY24</v>
      </c>
      <c r="C166" s="13" t="str">
        <f>Raw_Export_Clean!C166</f>
        <v>Q3</v>
      </c>
      <c r="D166" s="13" t="str">
        <f>Raw_Export_Clean!D166</f>
        <v>Revenue</v>
      </c>
      <c r="E166" s="13" t="str">
        <f>Raw_Export_Clean!E166</f>
        <v>Services</v>
      </c>
      <c r="F166" s="14">
        <f>Raw_Export_Clean!F166</f>
        <v>60</v>
      </c>
      <c r="G166" s="14">
        <f>Raw_Export_Clean!G166</f>
        <v>66.599999999999994</v>
      </c>
      <c r="H166" s="14">
        <f t="shared" si="15"/>
        <v>6.5999999999999943</v>
      </c>
      <c r="I166" s="15">
        <f t="shared" si="16"/>
        <v>0.1099999999999999</v>
      </c>
      <c r="J166" s="16" t="str">
        <f t="shared" si="17"/>
        <v>GREEN</v>
      </c>
      <c r="K166" s="14">
        <f>SUMPRODUCT((B$4:B166=B166)*(E$4:E166=E166)*H$4:H166)</f>
        <v>49.499999999999993</v>
      </c>
    </row>
    <row r="167" spans="1:11" ht="15" customHeight="1" x14ac:dyDescent="0.45">
      <c r="A167" s="17" t="str">
        <f>Raw_Export_Clean!A167</f>
        <v>Dec-23</v>
      </c>
      <c r="B167" s="17" t="str">
        <f>Raw_Export_Clean!B167</f>
        <v>FY24</v>
      </c>
      <c r="C167" s="17" t="str">
        <f>Raw_Export_Clean!C167</f>
        <v>Q3</v>
      </c>
      <c r="D167" s="17" t="str">
        <f>Raw_Export_Clean!D167</f>
        <v>Cost</v>
      </c>
      <c r="E167" s="17" t="str">
        <f>Raw_Export_Clean!E167</f>
        <v>Operations</v>
      </c>
      <c r="F167" s="18">
        <f>Raw_Export_Clean!F167</f>
        <v>121</v>
      </c>
      <c r="G167" s="18">
        <f>Raw_Export_Clean!G167</f>
        <v>130.68</v>
      </c>
      <c r="H167" s="18">
        <f t="shared" si="15"/>
        <v>9.6800000000000068</v>
      </c>
      <c r="I167" s="19">
        <f t="shared" si="16"/>
        <v>8.0000000000000057E-2</v>
      </c>
      <c r="J167" s="21" t="str">
        <f t="shared" si="17"/>
        <v>RED</v>
      </c>
      <c r="K167" s="18">
        <f>SUMPRODUCT((B$4:B167=B167)*(E$4:E167=E167)*H$4:H167)</f>
        <v>64.020000000000024</v>
      </c>
    </row>
    <row r="168" spans="1:11" ht="15" customHeight="1" x14ac:dyDescent="0.45">
      <c r="A168" s="13" t="str">
        <f>Raw_Export_Clean!A168</f>
        <v>Dec-23</v>
      </c>
      <c r="B168" s="13" t="str">
        <f>Raw_Export_Clean!B168</f>
        <v>FY24</v>
      </c>
      <c r="C168" s="13" t="str">
        <f>Raw_Export_Clean!C168</f>
        <v>Q3</v>
      </c>
      <c r="D168" s="13" t="str">
        <f>Raw_Export_Clean!D168</f>
        <v>Cost</v>
      </c>
      <c r="E168" s="13" t="str">
        <f>Raw_Export_Clean!E168</f>
        <v>Sales</v>
      </c>
      <c r="F168" s="14">
        <f>Raw_Export_Clean!F168</f>
        <v>27.5</v>
      </c>
      <c r="G168" s="14">
        <f>Raw_Export_Clean!G168</f>
        <v>27.23</v>
      </c>
      <c r="H168" s="14">
        <f t="shared" si="15"/>
        <v>-0.26999999999999957</v>
      </c>
      <c r="I168" s="15">
        <f t="shared" si="16"/>
        <v>-9.8181818181818023E-3</v>
      </c>
      <c r="J168" s="20" t="str">
        <f t="shared" si="17"/>
        <v>AMBER</v>
      </c>
      <c r="K168" s="14">
        <f>SUMPRODUCT((B$4:B168=B168)*(E$4:E168=E168)*H$4:H168)</f>
        <v>1.7699999999999996</v>
      </c>
    </row>
    <row r="169" spans="1:11" ht="15" customHeight="1" x14ac:dyDescent="0.45">
      <c r="A169" s="17" t="str">
        <f>Raw_Export_Clean!A169</f>
        <v>Dec-23</v>
      </c>
      <c r="B169" s="17" t="str">
        <f>Raw_Export_Clean!B169</f>
        <v>FY24</v>
      </c>
      <c r="C169" s="17" t="str">
        <f>Raw_Export_Clean!C169</f>
        <v>Q3</v>
      </c>
      <c r="D169" s="17" t="str">
        <f>Raw_Export_Clean!D169</f>
        <v>Cost</v>
      </c>
      <c r="E169" s="17" t="str">
        <f>Raw_Export_Clean!E169</f>
        <v>Marketing</v>
      </c>
      <c r="F169" s="18">
        <f>Raw_Export_Clean!F169</f>
        <v>22.5</v>
      </c>
      <c r="G169" s="18">
        <f>Raw_Export_Clean!G169</f>
        <v>24.98</v>
      </c>
      <c r="H169" s="18">
        <f t="shared" si="15"/>
        <v>2.4800000000000004</v>
      </c>
      <c r="I169" s="19">
        <f t="shared" si="16"/>
        <v>0.11022222222222224</v>
      </c>
      <c r="J169" s="21" t="str">
        <f t="shared" si="17"/>
        <v>RED</v>
      </c>
      <c r="K169" s="18">
        <f>SUMPRODUCT((B$4:B169=B169)*(E$4:E169=E169)*H$4:H169)</f>
        <v>18.37</v>
      </c>
    </row>
    <row r="170" spans="1:11" ht="15" customHeight="1" x14ac:dyDescent="0.45">
      <c r="A170" s="13" t="str">
        <f>Raw_Export_Clean!A170</f>
        <v>Dec-23</v>
      </c>
      <c r="B170" s="13" t="str">
        <f>Raw_Export_Clean!B170</f>
        <v>FY24</v>
      </c>
      <c r="C170" s="13" t="str">
        <f>Raw_Export_Clean!C170</f>
        <v>Q3</v>
      </c>
      <c r="D170" s="13" t="str">
        <f>Raw_Export_Clean!D170</f>
        <v>Cost</v>
      </c>
      <c r="E170" s="13" t="str">
        <f>Raw_Export_Clean!E170</f>
        <v>HR</v>
      </c>
      <c r="F170" s="14">
        <f>Raw_Export_Clean!F170</f>
        <v>16.5</v>
      </c>
      <c r="G170" s="14">
        <f>Raw_Export_Clean!G170</f>
        <v>17.16</v>
      </c>
      <c r="H170" s="14">
        <f t="shared" si="15"/>
        <v>0.66000000000000014</v>
      </c>
      <c r="I170" s="15">
        <f t="shared" si="16"/>
        <v>4.0000000000000008E-2</v>
      </c>
      <c r="J170" s="20" t="str">
        <f t="shared" si="17"/>
        <v>AMBER</v>
      </c>
      <c r="K170" s="14">
        <f>SUMPRODUCT((B$4:B170=B170)*(E$4:E170=E170)*H$4:H170)</f>
        <v>5.4500000000000011</v>
      </c>
    </row>
    <row r="171" spans="1:11" ht="15" customHeight="1" x14ac:dyDescent="0.45">
      <c r="A171" s="17" t="str">
        <f>Raw_Export_Clean!A171</f>
        <v>Dec-23</v>
      </c>
      <c r="B171" s="17" t="str">
        <f>Raw_Export_Clean!B171</f>
        <v>FY24</v>
      </c>
      <c r="C171" s="17" t="str">
        <f>Raw_Export_Clean!C171</f>
        <v>Q3</v>
      </c>
      <c r="D171" s="17" t="str">
        <f>Raw_Export_Clean!D171</f>
        <v>Cost</v>
      </c>
      <c r="E171" s="17" t="str">
        <f>Raw_Export_Clean!E171</f>
        <v>Finance &amp; Admin</v>
      </c>
      <c r="F171" s="18">
        <f>Raw_Export_Clean!F171</f>
        <v>11</v>
      </c>
      <c r="G171" s="18">
        <f>Raw_Export_Clean!G171</f>
        <v>11.11</v>
      </c>
      <c r="H171" s="18">
        <f t="shared" si="15"/>
        <v>0.10999999999999943</v>
      </c>
      <c r="I171" s="19">
        <f t="shared" si="16"/>
        <v>9.9999999999999482E-3</v>
      </c>
      <c r="J171" s="20" t="str">
        <f t="shared" si="17"/>
        <v>AMBER</v>
      </c>
      <c r="K171" s="18">
        <f>SUMPRODUCT((B$4:B171=B171)*(E$4:E171=E171)*H$4:H171)</f>
        <v>0.88999999999999879</v>
      </c>
    </row>
    <row r="172" spans="1:11" ht="15" customHeight="1" x14ac:dyDescent="0.45">
      <c r="A172" s="13" t="str">
        <f>Raw_Export_Clean!A172</f>
        <v>Jan-24</v>
      </c>
      <c r="B172" s="13" t="str">
        <f>Raw_Export_Clean!B172</f>
        <v>FY24</v>
      </c>
      <c r="C172" s="13" t="str">
        <f>Raw_Export_Clean!C172</f>
        <v>Q4</v>
      </c>
      <c r="D172" s="13" t="str">
        <f>Raw_Export_Clean!D172</f>
        <v>Revenue</v>
      </c>
      <c r="E172" s="13" t="str">
        <f>Raw_Export_Clean!E172</f>
        <v>Product A</v>
      </c>
      <c r="F172" s="14">
        <f>Raw_Export_Clean!F172</f>
        <v>124.2</v>
      </c>
      <c r="G172" s="14">
        <f>Raw_Export_Clean!G172</f>
        <v>130.41</v>
      </c>
      <c r="H172" s="14">
        <f t="shared" si="15"/>
        <v>6.2099999999999937</v>
      </c>
      <c r="I172" s="15">
        <f t="shared" si="16"/>
        <v>4.9999999999999947E-2</v>
      </c>
      <c r="J172" s="16" t="str">
        <f t="shared" si="17"/>
        <v>GREEN</v>
      </c>
      <c r="K172" s="14">
        <f>SUMPRODUCT((B$4:B172=B172)*(E$4:E172=E172)*H$4:H172)</f>
        <v>46.369999999999976</v>
      </c>
    </row>
    <row r="173" spans="1:11" ht="15" customHeight="1" x14ac:dyDescent="0.45">
      <c r="A173" s="17" t="str">
        <f>Raw_Export_Clean!A173</f>
        <v>Jan-24</v>
      </c>
      <c r="B173" s="17" t="str">
        <f>Raw_Export_Clean!B173</f>
        <v>FY24</v>
      </c>
      <c r="C173" s="17" t="str">
        <f>Raw_Export_Clean!C173</f>
        <v>Q4</v>
      </c>
      <c r="D173" s="17" t="str">
        <f>Raw_Export_Clean!D173</f>
        <v>Revenue</v>
      </c>
      <c r="E173" s="17" t="str">
        <f>Raw_Export_Clean!E173</f>
        <v>Product B</v>
      </c>
      <c r="F173" s="18">
        <f>Raw_Export_Clean!F173</f>
        <v>69.3</v>
      </c>
      <c r="G173" s="18">
        <f>Raw_Export_Clean!G173</f>
        <v>59.6</v>
      </c>
      <c r="H173" s="18">
        <f t="shared" si="15"/>
        <v>-9.6999999999999957</v>
      </c>
      <c r="I173" s="19">
        <f t="shared" si="16"/>
        <v>-0.13997113997113991</v>
      </c>
      <c r="J173" s="21" t="str">
        <f t="shared" si="17"/>
        <v>RED</v>
      </c>
      <c r="K173" s="18">
        <f>SUMPRODUCT((B$4:B173=B173)*(E$4:E173=E173)*H$4:H173)</f>
        <v>-83.009999999999991</v>
      </c>
    </row>
    <row r="174" spans="1:11" ht="15" customHeight="1" x14ac:dyDescent="0.45">
      <c r="A174" s="13" t="str">
        <f>Raw_Export_Clean!A174</f>
        <v>Jan-24</v>
      </c>
      <c r="B174" s="13" t="str">
        <f>Raw_Export_Clean!B174</f>
        <v>FY24</v>
      </c>
      <c r="C174" s="13" t="str">
        <f>Raw_Export_Clean!C174</f>
        <v>Q4</v>
      </c>
      <c r="D174" s="13" t="str">
        <f>Raw_Export_Clean!D174</f>
        <v>Revenue</v>
      </c>
      <c r="E174" s="13" t="str">
        <f>Raw_Export_Clean!E174</f>
        <v>Services</v>
      </c>
      <c r="F174" s="14">
        <f>Raw_Export_Clean!F174</f>
        <v>54</v>
      </c>
      <c r="G174" s="14">
        <f>Raw_Export_Clean!G174</f>
        <v>61.02</v>
      </c>
      <c r="H174" s="14">
        <f t="shared" si="15"/>
        <v>7.0200000000000031</v>
      </c>
      <c r="I174" s="15">
        <f t="shared" si="16"/>
        <v>0.13000000000000006</v>
      </c>
      <c r="J174" s="16" t="str">
        <f t="shared" si="17"/>
        <v>GREEN</v>
      </c>
      <c r="K174" s="14">
        <f>SUMPRODUCT((B$4:B174=B174)*(E$4:E174=E174)*H$4:H174)</f>
        <v>56.519999999999996</v>
      </c>
    </row>
    <row r="175" spans="1:11" ht="15" customHeight="1" x14ac:dyDescent="0.45">
      <c r="A175" s="17" t="str">
        <f>Raw_Export_Clean!A175</f>
        <v>Jan-24</v>
      </c>
      <c r="B175" s="17" t="str">
        <f>Raw_Export_Clean!B175</f>
        <v>FY24</v>
      </c>
      <c r="C175" s="17" t="str">
        <f>Raw_Export_Clean!C175</f>
        <v>Q4</v>
      </c>
      <c r="D175" s="17" t="str">
        <f>Raw_Export_Clean!D175</f>
        <v>Cost</v>
      </c>
      <c r="E175" s="17" t="str">
        <f>Raw_Export_Clean!E175</f>
        <v>Operations</v>
      </c>
      <c r="F175" s="18">
        <f>Raw_Export_Clean!F175</f>
        <v>108.9</v>
      </c>
      <c r="G175" s="18">
        <f>Raw_Export_Clean!G175</f>
        <v>118.7</v>
      </c>
      <c r="H175" s="18">
        <f t="shared" si="15"/>
        <v>9.7999999999999972</v>
      </c>
      <c r="I175" s="19">
        <f t="shared" si="16"/>
        <v>8.9990817263544506E-2</v>
      </c>
      <c r="J175" s="21" t="str">
        <f t="shared" si="17"/>
        <v>RED</v>
      </c>
      <c r="K175" s="18">
        <f>SUMPRODUCT((B$4:B175=B175)*(E$4:E175=E175)*H$4:H175)</f>
        <v>73.820000000000022</v>
      </c>
    </row>
    <row r="176" spans="1:11" ht="15" customHeight="1" x14ac:dyDescent="0.45">
      <c r="A176" s="13" t="str">
        <f>Raw_Export_Clean!A176</f>
        <v>Jan-24</v>
      </c>
      <c r="B176" s="13" t="str">
        <f>Raw_Export_Clean!B176</f>
        <v>FY24</v>
      </c>
      <c r="C176" s="13" t="str">
        <f>Raw_Export_Clean!C176</f>
        <v>Q4</v>
      </c>
      <c r="D176" s="13" t="str">
        <f>Raw_Export_Clean!D176</f>
        <v>Cost</v>
      </c>
      <c r="E176" s="13" t="str">
        <f>Raw_Export_Clean!E176</f>
        <v>Sales</v>
      </c>
      <c r="F176" s="14">
        <f>Raw_Export_Clean!F176</f>
        <v>24.75</v>
      </c>
      <c r="G176" s="14">
        <f>Raw_Export_Clean!G176</f>
        <v>25.25</v>
      </c>
      <c r="H176" s="14">
        <f t="shared" si="15"/>
        <v>0.5</v>
      </c>
      <c r="I176" s="15">
        <f t="shared" si="16"/>
        <v>2.0202020202020204E-2</v>
      </c>
      <c r="J176" s="20" t="str">
        <f t="shared" si="17"/>
        <v>AMBER</v>
      </c>
      <c r="K176" s="14">
        <f>SUMPRODUCT((B$4:B176=B176)*(E$4:E176=E176)*H$4:H176)</f>
        <v>2.2699999999999996</v>
      </c>
    </row>
    <row r="177" spans="1:11" ht="15" customHeight="1" x14ac:dyDescent="0.45">
      <c r="A177" s="17" t="str">
        <f>Raw_Export_Clean!A177</f>
        <v>Jan-24</v>
      </c>
      <c r="B177" s="17" t="str">
        <f>Raw_Export_Clean!B177</f>
        <v>FY24</v>
      </c>
      <c r="C177" s="17" t="str">
        <f>Raw_Export_Clean!C177</f>
        <v>Q4</v>
      </c>
      <c r="D177" s="17" t="str">
        <f>Raw_Export_Clean!D177</f>
        <v>Cost</v>
      </c>
      <c r="E177" s="17" t="str">
        <f>Raw_Export_Clean!E177</f>
        <v>Marketing</v>
      </c>
      <c r="F177" s="18">
        <f>Raw_Export_Clean!F177</f>
        <v>20.25</v>
      </c>
      <c r="G177" s="18">
        <f>Raw_Export_Clean!G177</f>
        <v>22.07</v>
      </c>
      <c r="H177" s="18">
        <f t="shared" si="15"/>
        <v>1.8200000000000003</v>
      </c>
      <c r="I177" s="19">
        <f t="shared" si="16"/>
        <v>8.9876543209876564E-2</v>
      </c>
      <c r="J177" s="21" t="str">
        <f t="shared" si="17"/>
        <v>RED</v>
      </c>
      <c r="K177" s="18">
        <f>SUMPRODUCT((B$4:B177=B177)*(E$4:E177=E177)*H$4:H177)</f>
        <v>20.190000000000001</v>
      </c>
    </row>
    <row r="178" spans="1:11" ht="15" customHeight="1" x14ac:dyDescent="0.45">
      <c r="A178" s="13" t="str">
        <f>Raw_Export_Clean!A178</f>
        <v>Jan-24</v>
      </c>
      <c r="B178" s="13" t="str">
        <f>Raw_Export_Clean!B178</f>
        <v>FY24</v>
      </c>
      <c r="C178" s="13" t="str">
        <f>Raw_Export_Clean!C178</f>
        <v>Q4</v>
      </c>
      <c r="D178" s="13" t="str">
        <f>Raw_Export_Clean!D178</f>
        <v>Cost</v>
      </c>
      <c r="E178" s="13" t="str">
        <f>Raw_Export_Clean!E178</f>
        <v>HR</v>
      </c>
      <c r="F178" s="14">
        <f>Raw_Export_Clean!F178</f>
        <v>14.85</v>
      </c>
      <c r="G178" s="14">
        <f>Raw_Export_Clean!G178</f>
        <v>15.59</v>
      </c>
      <c r="H178" s="14">
        <f t="shared" si="15"/>
        <v>0.74000000000000021</v>
      </c>
      <c r="I178" s="15">
        <f t="shared" si="16"/>
        <v>4.9831649831649845E-2</v>
      </c>
      <c r="J178" s="20" t="str">
        <f t="shared" si="17"/>
        <v>AMBER</v>
      </c>
      <c r="K178" s="14">
        <f>SUMPRODUCT((B$4:B178=B178)*(E$4:E178=E178)*H$4:H178)</f>
        <v>6.1900000000000013</v>
      </c>
    </row>
    <row r="179" spans="1:11" ht="15" customHeight="1" x14ac:dyDescent="0.45">
      <c r="A179" s="17" t="str">
        <f>Raw_Export_Clean!A179</f>
        <v>Jan-24</v>
      </c>
      <c r="B179" s="17" t="str">
        <f>Raw_Export_Clean!B179</f>
        <v>FY24</v>
      </c>
      <c r="C179" s="17" t="str">
        <f>Raw_Export_Clean!C179</f>
        <v>Q4</v>
      </c>
      <c r="D179" s="17" t="str">
        <f>Raw_Export_Clean!D179</f>
        <v>Cost</v>
      </c>
      <c r="E179" s="17" t="str">
        <f>Raw_Export_Clean!E179</f>
        <v>Finance &amp; Admin</v>
      </c>
      <c r="F179" s="18">
        <f>Raw_Export_Clean!F179</f>
        <v>9.9</v>
      </c>
      <c r="G179" s="18">
        <f>Raw_Export_Clean!G179</f>
        <v>10</v>
      </c>
      <c r="H179" s="18">
        <f t="shared" si="15"/>
        <v>9.9999999999999645E-2</v>
      </c>
      <c r="I179" s="19">
        <f t="shared" si="16"/>
        <v>1.0101010101010065E-2</v>
      </c>
      <c r="J179" s="20" t="str">
        <f t="shared" si="17"/>
        <v>AMBER</v>
      </c>
      <c r="K179" s="18">
        <f>SUMPRODUCT((B$4:B179=B179)*(E$4:E179=E179)*H$4:H179)</f>
        <v>0.98999999999999844</v>
      </c>
    </row>
    <row r="180" spans="1:11" ht="15" customHeight="1" x14ac:dyDescent="0.45">
      <c r="A180" s="13" t="str">
        <f>Raw_Export_Clean!A180</f>
        <v>Feb-24</v>
      </c>
      <c r="B180" s="13" t="str">
        <f>Raw_Export_Clean!B180</f>
        <v>FY24</v>
      </c>
      <c r="C180" s="13" t="str">
        <f>Raw_Export_Clean!C180</f>
        <v>Q4</v>
      </c>
      <c r="D180" s="13" t="str">
        <f>Raw_Export_Clean!D180</f>
        <v>Revenue</v>
      </c>
      <c r="E180" s="13" t="str">
        <f>Raw_Export_Clean!E180</f>
        <v>Product A</v>
      </c>
      <c r="F180" s="14">
        <f>Raw_Export_Clean!F180</f>
        <v>110.4</v>
      </c>
      <c r="G180" s="14">
        <f>Raw_Export_Clean!G180</f>
        <v>114.82</v>
      </c>
      <c r="H180" s="14">
        <f t="shared" si="15"/>
        <v>4.4199999999999875</v>
      </c>
      <c r="I180" s="15">
        <f t="shared" si="16"/>
        <v>4.0036231884057853E-2</v>
      </c>
      <c r="J180" s="16" t="str">
        <f t="shared" si="17"/>
        <v>GREEN</v>
      </c>
      <c r="K180" s="14">
        <f>SUMPRODUCT((B$4:B180=B180)*(E$4:E180=E180)*H$4:H180)</f>
        <v>50.789999999999964</v>
      </c>
    </row>
    <row r="181" spans="1:11" ht="15" customHeight="1" x14ac:dyDescent="0.45">
      <c r="A181" s="17" t="str">
        <f>Raw_Export_Clean!A181</f>
        <v>Feb-24</v>
      </c>
      <c r="B181" s="17" t="str">
        <f>Raw_Export_Clean!B181</f>
        <v>FY24</v>
      </c>
      <c r="C181" s="17" t="str">
        <f>Raw_Export_Clean!C181</f>
        <v>Q4</v>
      </c>
      <c r="D181" s="17" t="str">
        <f>Raw_Export_Clean!D181</f>
        <v>Revenue</v>
      </c>
      <c r="E181" s="17" t="str">
        <f>Raw_Export_Clean!E181</f>
        <v>Product B</v>
      </c>
      <c r="F181" s="18">
        <f>Raw_Export_Clean!F181</f>
        <v>61.6</v>
      </c>
      <c r="G181" s="18">
        <f>Raw_Export_Clean!G181</f>
        <v>51.74</v>
      </c>
      <c r="H181" s="18">
        <f t="shared" si="15"/>
        <v>-9.86</v>
      </c>
      <c r="I181" s="19">
        <f t="shared" si="16"/>
        <v>-0.16006493506493505</v>
      </c>
      <c r="J181" s="21" t="str">
        <f t="shared" si="17"/>
        <v>RED</v>
      </c>
      <c r="K181" s="18">
        <f>SUMPRODUCT((B$4:B181=B181)*(E$4:E181=E181)*H$4:H181)</f>
        <v>-92.86999999999999</v>
      </c>
    </row>
    <row r="182" spans="1:11" ht="15" customHeight="1" x14ac:dyDescent="0.45">
      <c r="A182" s="13" t="str">
        <f>Raw_Export_Clean!A182</f>
        <v>Feb-24</v>
      </c>
      <c r="B182" s="13" t="str">
        <f>Raw_Export_Clean!B182</f>
        <v>FY24</v>
      </c>
      <c r="C182" s="13" t="str">
        <f>Raw_Export_Clean!C182</f>
        <v>Q4</v>
      </c>
      <c r="D182" s="13" t="str">
        <f>Raw_Export_Clean!D182</f>
        <v>Revenue</v>
      </c>
      <c r="E182" s="13" t="str">
        <f>Raw_Export_Clean!E182</f>
        <v>Services</v>
      </c>
      <c r="F182" s="14">
        <f>Raw_Export_Clean!F182</f>
        <v>48</v>
      </c>
      <c r="G182" s="14">
        <f>Raw_Export_Clean!G182</f>
        <v>53.76</v>
      </c>
      <c r="H182" s="14">
        <f t="shared" si="15"/>
        <v>5.759999999999998</v>
      </c>
      <c r="I182" s="15">
        <f t="shared" si="16"/>
        <v>0.11999999999999995</v>
      </c>
      <c r="J182" s="16" t="str">
        <f t="shared" si="17"/>
        <v>GREEN</v>
      </c>
      <c r="K182" s="14">
        <f>SUMPRODUCT((B$4:B182=B182)*(E$4:E182=E182)*H$4:H182)</f>
        <v>62.279999999999994</v>
      </c>
    </row>
    <row r="183" spans="1:11" ht="15" customHeight="1" x14ac:dyDescent="0.45">
      <c r="A183" s="17" t="str">
        <f>Raw_Export_Clean!A183</f>
        <v>Feb-24</v>
      </c>
      <c r="B183" s="17" t="str">
        <f>Raw_Export_Clean!B183</f>
        <v>FY24</v>
      </c>
      <c r="C183" s="17" t="str">
        <f>Raw_Export_Clean!C183</f>
        <v>Q4</v>
      </c>
      <c r="D183" s="17" t="str">
        <f>Raw_Export_Clean!D183</f>
        <v>Cost</v>
      </c>
      <c r="E183" s="17" t="str">
        <f>Raw_Export_Clean!E183</f>
        <v>Operations</v>
      </c>
      <c r="F183" s="18">
        <f>Raw_Export_Clean!F183</f>
        <v>96.8</v>
      </c>
      <c r="G183" s="18">
        <f>Raw_Export_Clean!G183</f>
        <v>104.54</v>
      </c>
      <c r="H183" s="18">
        <f t="shared" si="15"/>
        <v>7.7400000000000091</v>
      </c>
      <c r="I183" s="19">
        <f t="shared" si="16"/>
        <v>7.9958677685950511E-2</v>
      </c>
      <c r="J183" s="21" t="str">
        <f t="shared" si="17"/>
        <v>RED</v>
      </c>
      <c r="K183" s="18">
        <f>SUMPRODUCT((B$4:B183=B183)*(E$4:E183=E183)*H$4:H183)</f>
        <v>81.560000000000031</v>
      </c>
    </row>
    <row r="184" spans="1:11" ht="15" customHeight="1" x14ac:dyDescent="0.45">
      <c r="A184" s="13" t="str">
        <f>Raw_Export_Clean!A184</f>
        <v>Feb-24</v>
      </c>
      <c r="B184" s="13" t="str">
        <f>Raw_Export_Clean!B184</f>
        <v>FY24</v>
      </c>
      <c r="C184" s="13" t="str">
        <f>Raw_Export_Clean!C184</f>
        <v>Q4</v>
      </c>
      <c r="D184" s="13" t="str">
        <f>Raw_Export_Clean!D184</f>
        <v>Cost</v>
      </c>
      <c r="E184" s="13" t="str">
        <f>Raw_Export_Clean!E184</f>
        <v>Sales</v>
      </c>
      <c r="F184" s="14">
        <f>Raw_Export_Clean!F184</f>
        <v>22</v>
      </c>
      <c r="G184" s="14">
        <f>Raw_Export_Clean!G184</f>
        <v>22.22</v>
      </c>
      <c r="H184" s="14">
        <f t="shared" si="15"/>
        <v>0.21999999999999886</v>
      </c>
      <c r="I184" s="15">
        <f t="shared" si="16"/>
        <v>9.9999999999999482E-3</v>
      </c>
      <c r="J184" s="20" t="str">
        <f t="shared" si="17"/>
        <v>AMBER</v>
      </c>
      <c r="K184" s="14">
        <f>SUMPRODUCT((B$4:B184=B184)*(E$4:E184=E184)*H$4:H184)</f>
        <v>2.4899999999999984</v>
      </c>
    </row>
    <row r="185" spans="1:11" ht="15" customHeight="1" x14ac:dyDescent="0.45">
      <c r="A185" s="17" t="str">
        <f>Raw_Export_Clean!A185</f>
        <v>Feb-24</v>
      </c>
      <c r="B185" s="17" t="str">
        <f>Raw_Export_Clean!B185</f>
        <v>FY24</v>
      </c>
      <c r="C185" s="17" t="str">
        <f>Raw_Export_Clean!C185</f>
        <v>Q4</v>
      </c>
      <c r="D185" s="17" t="str">
        <f>Raw_Export_Clean!D185</f>
        <v>Cost</v>
      </c>
      <c r="E185" s="17" t="str">
        <f>Raw_Export_Clean!E185</f>
        <v>Marketing</v>
      </c>
      <c r="F185" s="18">
        <f>Raw_Export_Clean!F185</f>
        <v>18</v>
      </c>
      <c r="G185" s="18">
        <f>Raw_Export_Clean!G185</f>
        <v>19.8</v>
      </c>
      <c r="H185" s="18">
        <f t="shared" si="15"/>
        <v>1.8000000000000007</v>
      </c>
      <c r="I185" s="19">
        <f t="shared" si="16"/>
        <v>0.10000000000000003</v>
      </c>
      <c r="J185" s="21" t="str">
        <f t="shared" si="17"/>
        <v>RED</v>
      </c>
      <c r="K185" s="18">
        <f>SUMPRODUCT((B$4:B185=B185)*(E$4:E185=E185)*H$4:H185)</f>
        <v>21.990000000000002</v>
      </c>
    </row>
    <row r="186" spans="1:11" ht="15" customHeight="1" x14ac:dyDescent="0.45">
      <c r="A186" s="13" t="str">
        <f>Raw_Export_Clean!A186</f>
        <v>Feb-24</v>
      </c>
      <c r="B186" s="13" t="str">
        <f>Raw_Export_Clean!B186</f>
        <v>FY24</v>
      </c>
      <c r="C186" s="13" t="str">
        <f>Raw_Export_Clean!C186</f>
        <v>Q4</v>
      </c>
      <c r="D186" s="13" t="str">
        <f>Raw_Export_Clean!D186</f>
        <v>Cost</v>
      </c>
      <c r="E186" s="13" t="str">
        <f>Raw_Export_Clean!E186</f>
        <v>HR</v>
      </c>
      <c r="F186" s="14">
        <f>Raw_Export_Clean!F186</f>
        <v>13.2</v>
      </c>
      <c r="G186" s="14">
        <f>Raw_Export_Clean!G186</f>
        <v>13.73</v>
      </c>
      <c r="H186" s="14">
        <f t="shared" si="15"/>
        <v>0.53000000000000114</v>
      </c>
      <c r="I186" s="15">
        <f t="shared" si="16"/>
        <v>4.0151515151515237E-2</v>
      </c>
      <c r="J186" s="20" t="str">
        <f t="shared" si="17"/>
        <v>AMBER</v>
      </c>
      <c r="K186" s="14">
        <f>SUMPRODUCT((B$4:B186=B186)*(E$4:E186=E186)*H$4:H186)</f>
        <v>6.7200000000000024</v>
      </c>
    </row>
    <row r="187" spans="1:11" ht="15" customHeight="1" x14ac:dyDescent="0.45">
      <c r="A187" s="17" t="str">
        <f>Raw_Export_Clean!A187</f>
        <v>Feb-24</v>
      </c>
      <c r="B187" s="17" t="str">
        <f>Raw_Export_Clean!B187</f>
        <v>FY24</v>
      </c>
      <c r="C187" s="17" t="str">
        <f>Raw_Export_Clean!C187</f>
        <v>Q4</v>
      </c>
      <c r="D187" s="17" t="str">
        <f>Raw_Export_Clean!D187</f>
        <v>Cost</v>
      </c>
      <c r="E187" s="17" t="str">
        <f>Raw_Export_Clean!E187</f>
        <v>Finance &amp; Admin</v>
      </c>
      <c r="F187" s="18">
        <f>Raw_Export_Clean!F187</f>
        <v>8.8000000000000007</v>
      </c>
      <c r="G187" s="18">
        <f>Raw_Export_Clean!G187</f>
        <v>8.8000000000000007</v>
      </c>
      <c r="H187" s="18">
        <f t="shared" si="15"/>
        <v>0</v>
      </c>
      <c r="I187" s="19">
        <f t="shared" si="16"/>
        <v>0</v>
      </c>
      <c r="J187" s="20" t="str">
        <f t="shared" si="17"/>
        <v>AMBER</v>
      </c>
      <c r="K187" s="18">
        <f>SUMPRODUCT((B$4:B187=B187)*(E$4:E187=E187)*H$4:H187)</f>
        <v>0.98999999999999844</v>
      </c>
    </row>
    <row r="188" spans="1:11" ht="15" customHeight="1" x14ac:dyDescent="0.45">
      <c r="A188" s="13" t="str">
        <f>Raw_Export_Clean!A188</f>
        <v>Mar-24</v>
      </c>
      <c r="B188" s="13" t="str">
        <f>Raw_Export_Clean!B188</f>
        <v>FY24</v>
      </c>
      <c r="C188" s="13" t="str">
        <f>Raw_Export_Clean!C188</f>
        <v>Q4</v>
      </c>
      <c r="D188" s="13" t="str">
        <f>Raw_Export_Clean!D188</f>
        <v>Revenue</v>
      </c>
      <c r="E188" s="13" t="str">
        <f>Raw_Export_Clean!E188</f>
        <v>Product A</v>
      </c>
      <c r="F188" s="14">
        <f>Raw_Export_Clean!F188</f>
        <v>96.6</v>
      </c>
      <c r="G188" s="14">
        <f>Raw_Export_Clean!G188</f>
        <v>102.4</v>
      </c>
      <c r="H188" s="14">
        <f t="shared" si="15"/>
        <v>5.8000000000000114</v>
      </c>
      <c r="I188" s="15">
        <f t="shared" si="16"/>
        <v>6.0041407867494942E-2</v>
      </c>
      <c r="J188" s="16" t="str">
        <f t="shared" si="17"/>
        <v>GREEN</v>
      </c>
      <c r="K188" s="14">
        <f>SUMPRODUCT((B$4:B188=B188)*(E$4:E188=E188)*H$4:H188)</f>
        <v>56.589999999999975</v>
      </c>
    </row>
    <row r="189" spans="1:11" ht="15" customHeight="1" x14ac:dyDescent="0.45">
      <c r="A189" s="17" t="str">
        <f>Raw_Export_Clean!A189</f>
        <v>Mar-24</v>
      </c>
      <c r="B189" s="17" t="str">
        <f>Raw_Export_Clean!B189</f>
        <v>FY24</v>
      </c>
      <c r="C189" s="17" t="str">
        <f>Raw_Export_Clean!C189</f>
        <v>Q4</v>
      </c>
      <c r="D189" s="17" t="str">
        <f>Raw_Export_Clean!D189</f>
        <v>Revenue</v>
      </c>
      <c r="E189" s="17" t="str">
        <f>Raw_Export_Clean!E189</f>
        <v>Product B</v>
      </c>
      <c r="F189" s="18">
        <f>Raw_Export_Clean!F189</f>
        <v>53.9</v>
      </c>
      <c r="G189" s="18">
        <f>Raw_Export_Clean!G189</f>
        <v>44.2</v>
      </c>
      <c r="H189" s="18">
        <f t="shared" si="15"/>
        <v>-9.6999999999999957</v>
      </c>
      <c r="I189" s="19">
        <f t="shared" si="16"/>
        <v>-0.17996289424860845</v>
      </c>
      <c r="J189" s="21" t="str">
        <f t="shared" si="17"/>
        <v>RED</v>
      </c>
      <c r="K189" s="18">
        <f>SUMPRODUCT((B$4:B189=B189)*(E$4:E189=E189)*H$4:H189)</f>
        <v>-102.57</v>
      </c>
    </row>
    <row r="190" spans="1:11" ht="15" customHeight="1" x14ac:dyDescent="0.45">
      <c r="A190" s="13" t="str">
        <f>Raw_Export_Clean!A190</f>
        <v>Mar-24</v>
      </c>
      <c r="B190" s="13" t="str">
        <f>Raw_Export_Clean!B190</f>
        <v>FY24</v>
      </c>
      <c r="C190" s="13" t="str">
        <f>Raw_Export_Clean!C190</f>
        <v>Q4</v>
      </c>
      <c r="D190" s="13" t="str">
        <f>Raw_Export_Clean!D190</f>
        <v>Revenue</v>
      </c>
      <c r="E190" s="13" t="str">
        <f>Raw_Export_Clean!E190</f>
        <v>Services</v>
      </c>
      <c r="F190" s="14">
        <f>Raw_Export_Clean!F190</f>
        <v>42</v>
      </c>
      <c r="G190" s="14">
        <f>Raw_Export_Clean!G190</f>
        <v>47.88</v>
      </c>
      <c r="H190" s="14">
        <f t="shared" si="15"/>
        <v>5.8800000000000026</v>
      </c>
      <c r="I190" s="15">
        <f t="shared" si="16"/>
        <v>0.14000000000000007</v>
      </c>
      <c r="J190" s="16" t="str">
        <f t="shared" si="17"/>
        <v>GREEN</v>
      </c>
      <c r="K190" s="14">
        <f>SUMPRODUCT((B$4:B190=B190)*(E$4:E190=E190)*H$4:H190)</f>
        <v>68.16</v>
      </c>
    </row>
    <row r="191" spans="1:11" ht="15" customHeight="1" x14ac:dyDescent="0.45">
      <c r="A191" s="17" t="str">
        <f>Raw_Export_Clean!A191</f>
        <v>Mar-24</v>
      </c>
      <c r="B191" s="17" t="str">
        <f>Raw_Export_Clean!B191</f>
        <v>FY24</v>
      </c>
      <c r="C191" s="17" t="str">
        <f>Raw_Export_Clean!C191</f>
        <v>Q4</v>
      </c>
      <c r="D191" s="17" t="str">
        <f>Raw_Export_Clean!D191</f>
        <v>Cost</v>
      </c>
      <c r="E191" s="17" t="str">
        <f>Raw_Export_Clean!E191</f>
        <v>Operations</v>
      </c>
      <c r="F191" s="18">
        <f>Raw_Export_Clean!F191</f>
        <v>84.7</v>
      </c>
      <c r="G191" s="18">
        <f>Raw_Export_Clean!G191</f>
        <v>93.17</v>
      </c>
      <c r="H191" s="18">
        <f t="shared" si="15"/>
        <v>8.4699999999999989</v>
      </c>
      <c r="I191" s="19">
        <f t="shared" si="16"/>
        <v>9.9999999999999978E-2</v>
      </c>
      <c r="J191" s="21" t="str">
        <f t="shared" si="17"/>
        <v>RED</v>
      </c>
      <c r="K191" s="18">
        <f>SUMPRODUCT((B$4:B191=B191)*(E$4:E191=E191)*H$4:H191)</f>
        <v>90.03000000000003</v>
      </c>
    </row>
    <row r="192" spans="1:11" ht="15" customHeight="1" x14ac:dyDescent="0.45">
      <c r="A192" s="13" t="str">
        <f>Raw_Export_Clean!A192</f>
        <v>Mar-24</v>
      </c>
      <c r="B192" s="13" t="str">
        <f>Raw_Export_Clean!B192</f>
        <v>FY24</v>
      </c>
      <c r="C192" s="13" t="str">
        <f>Raw_Export_Clean!C192</f>
        <v>Q4</v>
      </c>
      <c r="D192" s="13" t="str">
        <f>Raw_Export_Clean!D192</f>
        <v>Cost</v>
      </c>
      <c r="E192" s="13" t="str">
        <f>Raw_Export_Clean!E192</f>
        <v>Sales</v>
      </c>
      <c r="F192" s="14">
        <f>Raw_Export_Clean!F192</f>
        <v>19.25</v>
      </c>
      <c r="G192" s="14">
        <f>Raw_Export_Clean!G192</f>
        <v>19.829999999999998</v>
      </c>
      <c r="H192" s="14">
        <f t="shared" si="15"/>
        <v>0.57999999999999829</v>
      </c>
      <c r="I192" s="15">
        <f t="shared" si="16"/>
        <v>3.0129870129870041E-2</v>
      </c>
      <c r="J192" s="20" t="str">
        <f t="shared" si="17"/>
        <v>AMBER</v>
      </c>
      <c r="K192" s="14">
        <f>SUMPRODUCT((B$4:B192=B192)*(E$4:E192=E192)*H$4:H192)</f>
        <v>3.0699999999999967</v>
      </c>
    </row>
    <row r="193" spans="1:11" ht="15" customHeight="1" x14ac:dyDescent="0.45">
      <c r="A193" s="17" t="str">
        <f>Raw_Export_Clean!A193</f>
        <v>Mar-24</v>
      </c>
      <c r="B193" s="17" t="str">
        <f>Raw_Export_Clean!B193</f>
        <v>FY24</v>
      </c>
      <c r="C193" s="17" t="str">
        <f>Raw_Export_Clean!C193</f>
        <v>Q4</v>
      </c>
      <c r="D193" s="17" t="str">
        <f>Raw_Export_Clean!D193</f>
        <v>Cost</v>
      </c>
      <c r="E193" s="17" t="str">
        <f>Raw_Export_Clean!E193</f>
        <v>Marketing</v>
      </c>
      <c r="F193" s="18">
        <f>Raw_Export_Clean!F193</f>
        <v>15.75</v>
      </c>
      <c r="G193" s="18">
        <f>Raw_Export_Clean!G193</f>
        <v>17.010000000000002</v>
      </c>
      <c r="H193" s="18">
        <f t="shared" si="15"/>
        <v>1.2600000000000016</v>
      </c>
      <c r="I193" s="19">
        <f t="shared" si="16"/>
        <v>8.0000000000000099E-2</v>
      </c>
      <c r="J193" s="21" t="str">
        <f t="shared" si="17"/>
        <v>RED</v>
      </c>
      <c r="K193" s="18">
        <f>SUMPRODUCT((B$4:B193=B193)*(E$4:E193=E193)*H$4:H193)</f>
        <v>23.250000000000004</v>
      </c>
    </row>
    <row r="194" spans="1:11" ht="15" customHeight="1" x14ac:dyDescent="0.45">
      <c r="A194" s="13" t="str">
        <f>Raw_Export_Clean!A194</f>
        <v>Mar-24</v>
      </c>
      <c r="B194" s="13" t="str">
        <f>Raw_Export_Clean!B194</f>
        <v>FY24</v>
      </c>
      <c r="C194" s="13" t="str">
        <f>Raw_Export_Clean!C194</f>
        <v>Q4</v>
      </c>
      <c r="D194" s="13" t="str">
        <f>Raw_Export_Clean!D194</f>
        <v>Cost</v>
      </c>
      <c r="E194" s="13" t="str">
        <f>Raw_Export_Clean!E194</f>
        <v>HR</v>
      </c>
      <c r="F194" s="14">
        <f>Raw_Export_Clean!F194</f>
        <v>11.55</v>
      </c>
      <c r="G194" s="14">
        <f>Raw_Export_Clean!G194</f>
        <v>12.24</v>
      </c>
      <c r="H194" s="14">
        <f t="shared" si="15"/>
        <v>0.6899999999999995</v>
      </c>
      <c r="I194" s="15">
        <f t="shared" si="16"/>
        <v>5.9740259740259691E-2</v>
      </c>
      <c r="J194" s="21" t="str">
        <f t="shared" si="17"/>
        <v>RED</v>
      </c>
      <c r="K194" s="14">
        <f>SUMPRODUCT((B$4:B194=B194)*(E$4:E194=E194)*H$4:H194)</f>
        <v>7.4100000000000019</v>
      </c>
    </row>
    <row r="195" spans="1:11" ht="15" customHeight="1" x14ac:dyDescent="0.45">
      <c r="A195" s="17" t="str">
        <f>Raw_Export_Clean!A195</f>
        <v>Mar-24</v>
      </c>
      <c r="B195" s="17" t="str">
        <f>Raw_Export_Clean!B195</f>
        <v>FY24</v>
      </c>
      <c r="C195" s="17" t="str">
        <f>Raw_Export_Clean!C195</f>
        <v>Q4</v>
      </c>
      <c r="D195" s="17" t="str">
        <f>Raw_Export_Clean!D195</f>
        <v>Cost</v>
      </c>
      <c r="E195" s="17" t="str">
        <f>Raw_Export_Clean!E195</f>
        <v>Finance &amp; Admin</v>
      </c>
      <c r="F195" s="18">
        <f>Raw_Export_Clean!F195</f>
        <v>7.7</v>
      </c>
      <c r="G195" s="18">
        <f>Raw_Export_Clean!G195</f>
        <v>7.85</v>
      </c>
      <c r="H195" s="18">
        <f t="shared" si="15"/>
        <v>0.14999999999999947</v>
      </c>
      <c r="I195" s="19">
        <f t="shared" si="16"/>
        <v>1.9480519480519411E-2</v>
      </c>
      <c r="J195" s="20" t="str">
        <f t="shared" si="17"/>
        <v>AMBER</v>
      </c>
      <c r="K195" s="18">
        <f>SUMPRODUCT((B$4:B195=B195)*(E$4:E195=E195)*H$4:H195)</f>
        <v>1.1399999999999979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0"/>
  <sheetViews>
    <sheetView zoomScaleNormal="100" workbookViewId="0">
      <pane ySplit="3" topLeftCell="A4" activePane="bottomLeft" state="frozen"/>
      <selection pane="bottomLeft" activeCell="I1" sqref="I1"/>
    </sheetView>
  </sheetViews>
  <sheetFormatPr defaultColWidth="8.6640625" defaultRowHeight="14.25" x14ac:dyDescent="0.45"/>
  <cols>
    <col min="1" max="1" width="32" customWidth="1"/>
    <col min="2" max="8" width="18" customWidth="1"/>
  </cols>
  <sheetData>
    <row r="1" spans="1:8" ht="24" customHeight="1" x14ac:dyDescent="0.45">
      <c r="A1" s="84" t="s">
        <v>64</v>
      </c>
      <c r="B1" s="84"/>
      <c r="C1" s="84"/>
      <c r="D1" s="84"/>
      <c r="E1" s="84"/>
      <c r="F1" s="84"/>
      <c r="G1" s="84"/>
      <c r="H1" s="84"/>
    </row>
    <row r="2" spans="1:8" ht="15" customHeight="1" x14ac:dyDescent="0.45">
      <c r="A2" s="80" t="s">
        <v>65</v>
      </c>
      <c r="B2" s="80"/>
      <c r="C2" s="80"/>
      <c r="D2" s="80"/>
      <c r="E2" s="80"/>
      <c r="F2" s="80"/>
      <c r="G2" s="80"/>
      <c r="H2" s="80"/>
    </row>
    <row r="3" spans="1:8" ht="15" customHeight="1" x14ac:dyDescent="0.45">
      <c r="A3" s="73" t="s">
        <v>66</v>
      </c>
      <c r="B3" s="73"/>
      <c r="C3" s="73"/>
      <c r="D3" s="73"/>
      <c r="E3" s="73"/>
      <c r="F3" s="73"/>
    </row>
    <row r="4" spans="1:8" ht="19.5" customHeight="1" x14ac:dyDescent="0.45">
      <c r="A4" s="79" t="s">
        <v>67</v>
      </c>
      <c r="B4" s="79"/>
      <c r="C4" s="79"/>
      <c r="D4" s="79"/>
      <c r="E4" s="79"/>
      <c r="F4" s="79"/>
    </row>
    <row r="5" spans="1:8" ht="15" customHeight="1" x14ac:dyDescent="0.45">
      <c r="A5" s="3" t="s">
        <v>6</v>
      </c>
      <c r="B5" s="3" t="s">
        <v>5</v>
      </c>
      <c r="C5" s="96" t="s">
        <v>496</v>
      </c>
      <c r="D5" s="96" t="s">
        <v>497</v>
      </c>
      <c r="E5" s="3" t="s">
        <v>60</v>
      </c>
      <c r="F5" s="3" t="s">
        <v>61</v>
      </c>
    </row>
    <row r="6" spans="1:8" ht="15" customHeight="1" x14ac:dyDescent="0.45">
      <c r="A6" s="7" t="s">
        <v>14</v>
      </c>
      <c r="B6" s="7" t="s">
        <v>13</v>
      </c>
      <c r="C6" s="22">
        <f>SUMPRODUCT((Raw_Export_Clean!$B$4:$B$195="FY24")*(Raw_Export_Clean!$E$4:$E$195="Product A")*Raw_Export_Clean!$F$4:$F$195)</f>
        <v>1380</v>
      </c>
      <c r="D6" s="22">
        <f>SUMPRODUCT((Raw_Export_Clean!$B$4:$B$195="FY24")*(Raw_Export_Clean!$E$4:$E$195="Product A")*Raw_Export_Clean!$G$4:$G$195)</f>
        <v>1436.59</v>
      </c>
      <c r="E6" s="14">
        <f t="shared" ref="E6:E15" si="0">D6-C6</f>
        <v>56.589999999999918</v>
      </c>
      <c r="F6" s="15">
        <f t="shared" ref="F6:F15" si="1">IF(C6&lt;&gt;0,(D6-C6)/C6,0)</f>
        <v>4.1007246376811538E-2</v>
      </c>
    </row>
    <row r="7" spans="1:8" ht="15" customHeight="1" x14ac:dyDescent="0.45">
      <c r="A7" s="10" t="s">
        <v>16</v>
      </c>
      <c r="B7" s="10" t="s">
        <v>13</v>
      </c>
      <c r="C7" s="23">
        <f>SUMPRODUCT((Raw_Export_Clean!$B$4:$B$195="FY24")*(Raw_Export_Clean!$E$4:$E$195="Product B")*Raw_Export_Clean!$F$4:$F$195)</f>
        <v>770</v>
      </c>
      <c r="D7" s="23">
        <f>SUMPRODUCT((Raw_Export_Clean!$B$4:$B$195="FY24")*(Raw_Export_Clean!$E$4:$E$195="Product B")*Raw_Export_Clean!$G$4:$G$195)</f>
        <v>667.43000000000006</v>
      </c>
      <c r="E7" s="18">
        <f t="shared" si="0"/>
        <v>-102.56999999999994</v>
      </c>
      <c r="F7" s="19">
        <f t="shared" si="1"/>
        <v>-0.13320779220779214</v>
      </c>
    </row>
    <row r="8" spans="1:8" ht="15" customHeight="1" x14ac:dyDescent="0.45">
      <c r="A8" s="7" t="s">
        <v>18</v>
      </c>
      <c r="B8" s="7" t="s">
        <v>13</v>
      </c>
      <c r="C8" s="22">
        <f>SUMPRODUCT((Raw_Export_Clean!$B$4:$B$195="FY24")*(Raw_Export_Clean!$E$4:$E$195="Services")*Raw_Export_Clean!$F$4:$F$195)</f>
        <v>600</v>
      </c>
      <c r="D8" s="22">
        <f>SUMPRODUCT((Raw_Export_Clean!$B$4:$B$195="FY24")*(Raw_Export_Clean!$E$4:$E$195="Services")*Raw_Export_Clean!$G$4:$G$195)</f>
        <v>668.16</v>
      </c>
      <c r="E8" s="14">
        <f t="shared" si="0"/>
        <v>68.159999999999968</v>
      </c>
      <c r="F8" s="15">
        <f t="shared" si="1"/>
        <v>0.11359999999999995</v>
      </c>
    </row>
    <row r="9" spans="1:8" ht="15" customHeight="1" x14ac:dyDescent="0.45">
      <c r="A9" s="10" t="s">
        <v>21</v>
      </c>
      <c r="B9" s="10" t="s">
        <v>20</v>
      </c>
      <c r="C9" s="23">
        <f>SUMPRODUCT((Raw_Export_Clean!$B$4:$B$195="FY24")*(Raw_Export_Clean!$E$4:$E$195="Operations")*Raw_Export_Clean!$F$4:$F$195)</f>
        <v>1210</v>
      </c>
      <c r="D9" s="23">
        <f>SUMPRODUCT((Raw_Export_Clean!$B$4:$B$195="FY24")*(Raw_Export_Clean!$E$4:$E$195="Operations")*Raw_Export_Clean!$G$4:$G$195)</f>
        <v>1300.0300000000002</v>
      </c>
      <c r="E9" s="18">
        <f t="shared" si="0"/>
        <v>90.0300000000002</v>
      </c>
      <c r="F9" s="19">
        <f t="shared" si="1"/>
        <v>7.4404958677686123E-2</v>
      </c>
    </row>
    <row r="10" spans="1:8" ht="15" customHeight="1" x14ac:dyDescent="0.45">
      <c r="A10" s="7" t="s">
        <v>23</v>
      </c>
      <c r="B10" s="7" t="s">
        <v>20</v>
      </c>
      <c r="C10" s="22">
        <f>SUMPRODUCT((Raw_Export_Clean!$B$4:$B$195="FY24")*(Raw_Export_Clean!$E$4:$E$195="Sales")*Raw_Export_Clean!$F$4:$F$195)</f>
        <v>275</v>
      </c>
      <c r="D10" s="22">
        <f>SUMPRODUCT((Raw_Export_Clean!$B$4:$B$195="FY24")*(Raw_Export_Clean!$E$4:$E$195="Sales")*Raw_Export_Clean!$G$4:$G$195)</f>
        <v>278.07</v>
      </c>
      <c r="E10" s="14">
        <f t="shared" si="0"/>
        <v>3.0699999999999932</v>
      </c>
      <c r="F10" s="15">
        <f t="shared" si="1"/>
        <v>1.1163636363636339E-2</v>
      </c>
    </row>
    <row r="11" spans="1:8" ht="15" customHeight="1" x14ac:dyDescent="0.45">
      <c r="A11" s="10" t="s">
        <v>25</v>
      </c>
      <c r="B11" s="10" t="s">
        <v>20</v>
      </c>
      <c r="C11" s="23">
        <f>SUMPRODUCT((Raw_Export_Clean!$B$4:$B$195="FY24")*(Raw_Export_Clean!$E$4:$E$195="Marketing")*Raw_Export_Clean!$F$4:$F$195)</f>
        <v>225</v>
      </c>
      <c r="D11" s="23">
        <f>SUMPRODUCT((Raw_Export_Clean!$B$4:$B$195="FY24")*(Raw_Export_Clean!$E$4:$E$195="Marketing")*Raw_Export_Clean!$G$4:$G$195)</f>
        <v>248.25</v>
      </c>
      <c r="E11" s="18">
        <f t="shared" si="0"/>
        <v>23.25</v>
      </c>
      <c r="F11" s="19">
        <f t="shared" si="1"/>
        <v>0.10333333333333333</v>
      </c>
    </row>
    <row r="12" spans="1:8" ht="15" customHeight="1" x14ac:dyDescent="0.45">
      <c r="A12" s="7" t="s">
        <v>27</v>
      </c>
      <c r="B12" s="7" t="s">
        <v>20</v>
      </c>
      <c r="C12" s="22">
        <f>SUMPRODUCT((Raw_Export_Clean!$B$4:$B$195="FY24")*(Raw_Export_Clean!$E$4:$E$195="HR")*Raw_Export_Clean!$F$4:$F$195)</f>
        <v>165</v>
      </c>
      <c r="D12" s="22">
        <f>SUMPRODUCT((Raw_Export_Clean!$B$4:$B$195="FY24")*(Raw_Export_Clean!$E$4:$E$195="HR")*Raw_Export_Clean!$G$4:$G$195)</f>
        <v>172.41000000000003</v>
      </c>
      <c r="E12" s="14">
        <f t="shared" si="0"/>
        <v>7.410000000000025</v>
      </c>
      <c r="F12" s="15">
        <f t="shared" si="1"/>
        <v>4.4909090909091058E-2</v>
      </c>
    </row>
    <row r="13" spans="1:8" ht="15" customHeight="1" x14ac:dyDescent="0.45">
      <c r="A13" s="10" t="s">
        <v>29</v>
      </c>
      <c r="B13" s="10" t="s">
        <v>20</v>
      </c>
      <c r="C13" s="23">
        <f>SUMPRODUCT((Raw_Export_Clean!$B$4:$B$195="FY24")*(Raw_Export_Clean!$E$4:$E$195="Finance &amp; Admin")*Raw_Export_Clean!$F$4:$F$195)</f>
        <v>110</v>
      </c>
      <c r="D13" s="23">
        <f>SUMPRODUCT((Raw_Export_Clean!$B$4:$B$195="FY24")*(Raw_Export_Clean!$E$4:$E$195="Finance &amp; Admin")*Raw_Export_Clean!$G$4:$G$195)</f>
        <v>111.14</v>
      </c>
      <c r="E13" s="18">
        <f t="shared" si="0"/>
        <v>1.1400000000000006</v>
      </c>
      <c r="F13" s="19">
        <f t="shared" si="1"/>
        <v>1.0363636363636368E-2</v>
      </c>
    </row>
    <row r="14" spans="1:8" ht="15" customHeight="1" x14ac:dyDescent="0.45">
      <c r="A14" s="24" t="s">
        <v>68</v>
      </c>
      <c r="B14" s="25"/>
      <c r="C14" s="26">
        <f>SUM(C6:C8)</f>
        <v>2750</v>
      </c>
      <c r="D14" s="26">
        <f>SUM(D6:D8)</f>
        <v>2772.18</v>
      </c>
      <c r="E14" s="26">
        <f t="shared" si="0"/>
        <v>22.179999999999836</v>
      </c>
      <c r="F14" s="27">
        <f t="shared" si="1"/>
        <v>8.0654545454544851E-3</v>
      </c>
    </row>
    <row r="15" spans="1:8" ht="15" customHeight="1" x14ac:dyDescent="0.45">
      <c r="A15" s="24" t="s">
        <v>69</v>
      </c>
      <c r="B15" s="25"/>
      <c r="C15" s="26">
        <f>SUM(C9:C13)</f>
        <v>1985</v>
      </c>
      <c r="D15" s="26">
        <f>SUM(D9:D13)</f>
        <v>2109.9</v>
      </c>
      <c r="E15" s="26">
        <f t="shared" si="0"/>
        <v>124.90000000000009</v>
      </c>
      <c r="F15" s="27">
        <f t="shared" si="1"/>
        <v>6.2921914357682671E-2</v>
      </c>
    </row>
    <row r="16" spans="1:8" ht="15" customHeight="1" x14ac:dyDescent="0.45">
      <c r="A16" s="4" t="s">
        <v>70</v>
      </c>
      <c r="B16" s="25"/>
      <c r="C16" s="28">
        <f>C14-C15</f>
        <v>765</v>
      </c>
      <c r="D16" s="98">
        <f>D14-D15</f>
        <v>662.27999999999975</v>
      </c>
      <c r="E16" s="97"/>
      <c r="F16" s="25"/>
    </row>
    <row r="18" spans="1:6" ht="19.5" customHeight="1" x14ac:dyDescent="0.45">
      <c r="A18" s="79" t="s">
        <v>71</v>
      </c>
      <c r="B18" s="79"/>
      <c r="C18" s="79"/>
      <c r="D18" s="79"/>
      <c r="E18" s="79"/>
      <c r="F18" s="79"/>
    </row>
    <row r="19" spans="1:6" x14ac:dyDescent="0.45">
      <c r="A19" s="3" t="s">
        <v>72</v>
      </c>
      <c r="B19" s="3" t="s">
        <v>73</v>
      </c>
      <c r="C19" s="82" t="s">
        <v>74</v>
      </c>
      <c r="D19" s="82"/>
      <c r="E19" s="82"/>
    </row>
    <row r="20" spans="1:6" ht="27" customHeight="1" x14ac:dyDescent="0.45">
      <c r="A20" s="29" t="s">
        <v>75</v>
      </c>
      <c r="B20" s="30">
        <v>-0.05</v>
      </c>
      <c r="C20" s="83" t="s">
        <v>76</v>
      </c>
      <c r="D20" s="83"/>
      <c r="E20" s="83"/>
      <c r="F20" s="83"/>
    </row>
    <row r="21" spans="1:6" ht="15" customHeight="1" x14ac:dyDescent="0.45">
      <c r="A21" s="29" t="s">
        <v>77</v>
      </c>
      <c r="B21" s="30">
        <v>0.06</v>
      </c>
      <c r="C21" s="83" t="s">
        <v>78</v>
      </c>
      <c r="D21" s="83"/>
      <c r="E21" s="83"/>
      <c r="F21" s="83"/>
    </row>
    <row r="22" spans="1:6" ht="15" customHeight="1" x14ac:dyDescent="0.45">
      <c r="A22" s="80" t="s">
        <v>79</v>
      </c>
      <c r="B22" s="80"/>
      <c r="C22" s="80"/>
      <c r="D22" s="80"/>
      <c r="E22" s="80"/>
      <c r="F22" s="80"/>
    </row>
    <row r="24" spans="1:6" ht="19.5" customHeight="1" x14ac:dyDescent="0.45">
      <c r="A24" s="79" t="s">
        <v>80</v>
      </c>
      <c r="B24" s="79"/>
      <c r="C24" s="79"/>
      <c r="D24" s="79"/>
      <c r="E24" s="79"/>
      <c r="F24" s="79"/>
    </row>
    <row r="25" spans="1:6" ht="23.25" customHeight="1" x14ac:dyDescent="0.45">
      <c r="A25" s="3" t="s">
        <v>6</v>
      </c>
      <c r="B25" s="3" t="s">
        <v>5</v>
      </c>
      <c r="C25" s="3" t="s">
        <v>81</v>
      </c>
      <c r="D25" s="3" t="s">
        <v>82</v>
      </c>
      <c r="E25" s="3" t="s">
        <v>83</v>
      </c>
    </row>
    <row r="26" spans="1:6" ht="15" customHeight="1" x14ac:dyDescent="0.45">
      <c r="A26" s="7" t="s">
        <v>14</v>
      </c>
      <c r="B26" s="7" t="s">
        <v>13</v>
      </c>
      <c r="C26" s="22">
        <f t="shared" ref="C26:C33" si="2">C6</f>
        <v>1380</v>
      </c>
      <c r="D26" s="14">
        <f>C26*(1+$B$20)</f>
        <v>1311</v>
      </c>
      <c r="E26" s="14">
        <f t="shared" ref="E26:E36" si="3">D26-C26</f>
        <v>-69</v>
      </c>
    </row>
    <row r="27" spans="1:6" ht="15" customHeight="1" x14ac:dyDescent="0.45">
      <c r="A27" s="10" t="s">
        <v>16</v>
      </c>
      <c r="B27" s="10" t="s">
        <v>13</v>
      </c>
      <c r="C27" s="23">
        <f t="shared" si="2"/>
        <v>770</v>
      </c>
      <c r="D27" s="18">
        <f>C27*(1+$B$20)</f>
        <v>731.5</v>
      </c>
      <c r="E27" s="18">
        <f t="shared" si="3"/>
        <v>-38.5</v>
      </c>
    </row>
    <row r="28" spans="1:6" ht="15" customHeight="1" x14ac:dyDescent="0.45">
      <c r="A28" s="7" t="s">
        <v>18</v>
      </c>
      <c r="B28" s="7" t="s">
        <v>13</v>
      </c>
      <c r="C28" s="22">
        <f t="shared" si="2"/>
        <v>600</v>
      </c>
      <c r="D28" s="14">
        <f>C28*(1+$B$20)</f>
        <v>570</v>
      </c>
      <c r="E28" s="14">
        <f t="shared" si="3"/>
        <v>-30</v>
      </c>
    </row>
    <row r="29" spans="1:6" ht="15" customHeight="1" x14ac:dyDescent="0.45">
      <c r="A29" s="10" t="s">
        <v>21</v>
      </c>
      <c r="B29" s="10" t="s">
        <v>20</v>
      </c>
      <c r="C29" s="23">
        <f t="shared" si="2"/>
        <v>1210</v>
      </c>
      <c r="D29" s="18">
        <f>C29*(1+$B$21)</f>
        <v>1282.6000000000001</v>
      </c>
      <c r="E29" s="18">
        <f t="shared" si="3"/>
        <v>72.600000000000136</v>
      </c>
    </row>
    <row r="30" spans="1:6" ht="15" customHeight="1" x14ac:dyDescent="0.45">
      <c r="A30" s="7" t="s">
        <v>23</v>
      </c>
      <c r="B30" s="7" t="s">
        <v>20</v>
      </c>
      <c r="C30" s="22">
        <f t="shared" si="2"/>
        <v>275</v>
      </c>
      <c r="D30" s="14">
        <f>C30*(1+$B$21)</f>
        <v>291.5</v>
      </c>
      <c r="E30" s="14">
        <f t="shared" si="3"/>
        <v>16.5</v>
      </c>
    </row>
    <row r="31" spans="1:6" ht="15" customHeight="1" x14ac:dyDescent="0.45">
      <c r="A31" s="10" t="s">
        <v>25</v>
      </c>
      <c r="B31" s="10" t="s">
        <v>20</v>
      </c>
      <c r="C31" s="23">
        <f t="shared" si="2"/>
        <v>225</v>
      </c>
      <c r="D31" s="18">
        <f>C31*(1+$B$21)</f>
        <v>238.5</v>
      </c>
      <c r="E31" s="18">
        <f t="shared" si="3"/>
        <v>13.5</v>
      </c>
    </row>
    <row r="32" spans="1:6" ht="15" customHeight="1" x14ac:dyDescent="0.45">
      <c r="A32" s="7" t="s">
        <v>27</v>
      </c>
      <c r="B32" s="7" t="s">
        <v>20</v>
      </c>
      <c r="C32" s="22">
        <f t="shared" si="2"/>
        <v>165</v>
      </c>
      <c r="D32" s="14">
        <f>C32*(1+$B$21)</f>
        <v>174.9</v>
      </c>
      <c r="E32" s="14">
        <f t="shared" si="3"/>
        <v>9.9000000000000057</v>
      </c>
    </row>
    <row r="33" spans="1:8" ht="15" customHeight="1" x14ac:dyDescent="0.45">
      <c r="A33" s="10" t="s">
        <v>29</v>
      </c>
      <c r="B33" s="10" t="s">
        <v>20</v>
      </c>
      <c r="C33" s="23">
        <f t="shared" si="2"/>
        <v>110</v>
      </c>
      <c r="D33" s="18">
        <f>C33*(1+$B$21)</f>
        <v>116.60000000000001</v>
      </c>
      <c r="E33" s="18">
        <f t="shared" si="3"/>
        <v>6.6000000000000085</v>
      </c>
    </row>
    <row r="34" spans="1:8" ht="15" customHeight="1" x14ac:dyDescent="0.45">
      <c r="A34" s="24" t="s">
        <v>84</v>
      </c>
      <c r="B34" s="25"/>
      <c r="C34" s="26">
        <f>SUM(C26:C28)</f>
        <v>2750</v>
      </c>
      <c r="D34" s="26">
        <f>SUM(D26:D28)</f>
        <v>2612.5</v>
      </c>
      <c r="E34" s="26">
        <f t="shared" si="3"/>
        <v>-137.5</v>
      </c>
    </row>
    <row r="35" spans="1:8" ht="15" customHeight="1" x14ac:dyDescent="0.45">
      <c r="A35" s="24" t="s">
        <v>85</v>
      </c>
      <c r="B35" s="25"/>
      <c r="C35" s="26">
        <f>SUM(C29:C33)</f>
        <v>1985</v>
      </c>
      <c r="D35" s="26">
        <f>SUM(D29:D33)</f>
        <v>2104.1000000000004</v>
      </c>
      <c r="E35" s="26">
        <f t="shared" si="3"/>
        <v>119.10000000000036</v>
      </c>
    </row>
    <row r="36" spans="1:8" ht="15" customHeight="1" x14ac:dyDescent="0.45">
      <c r="A36" s="4" t="s">
        <v>86</v>
      </c>
      <c r="B36" s="31"/>
      <c r="C36" s="28">
        <f>C34-C35</f>
        <v>765</v>
      </c>
      <c r="D36" s="28">
        <f>D34-D35</f>
        <v>508.39999999999964</v>
      </c>
      <c r="E36" s="28">
        <f t="shared" si="3"/>
        <v>-256.60000000000036</v>
      </c>
    </row>
    <row r="37" spans="1:8" ht="15" customHeight="1" x14ac:dyDescent="0.45">
      <c r="A37" s="79" t="s">
        <v>87</v>
      </c>
      <c r="B37" s="79"/>
      <c r="C37" s="79"/>
      <c r="D37" s="79"/>
      <c r="E37" s="32">
        <f>IF(C36&lt;&gt;0,E36/C36,0)</f>
        <v>-0.33542483660130767</v>
      </c>
    </row>
    <row r="39" spans="1:8" ht="19.5" customHeight="1" x14ac:dyDescent="0.45">
      <c r="A39" s="79" t="s">
        <v>88</v>
      </c>
      <c r="B39" s="79"/>
      <c r="C39" s="79"/>
      <c r="D39" s="79"/>
      <c r="E39" s="79"/>
      <c r="F39" s="79"/>
    </row>
    <row r="40" spans="1:8" ht="15" customHeight="1" x14ac:dyDescent="0.45">
      <c r="A40" s="3" t="s">
        <v>89</v>
      </c>
      <c r="B40" s="33" t="s">
        <v>90</v>
      </c>
      <c r="C40" s="34" t="s">
        <v>91</v>
      </c>
      <c r="D40" s="35" t="s">
        <v>92</v>
      </c>
    </row>
    <row r="41" spans="1:8" ht="15" customHeight="1" x14ac:dyDescent="0.45">
      <c r="A41" s="29" t="s">
        <v>75</v>
      </c>
      <c r="B41" s="36">
        <v>0</v>
      </c>
      <c r="C41" s="37">
        <v>-0.05</v>
      </c>
      <c r="D41" s="38">
        <v>-0.12</v>
      </c>
    </row>
    <row r="42" spans="1:8" ht="15" customHeight="1" x14ac:dyDescent="0.45">
      <c r="A42" s="29" t="s">
        <v>77</v>
      </c>
      <c r="B42" s="36">
        <v>0</v>
      </c>
      <c r="C42" s="37">
        <v>0.03</v>
      </c>
      <c r="D42" s="38">
        <v>0.08</v>
      </c>
    </row>
    <row r="43" spans="1:8" ht="15" customHeight="1" x14ac:dyDescent="0.45">
      <c r="A43" s="29" t="s">
        <v>93</v>
      </c>
      <c r="B43" s="39">
        <v>2750</v>
      </c>
      <c r="C43" s="40">
        <v>2612.5</v>
      </c>
      <c r="D43" s="41">
        <v>2420</v>
      </c>
    </row>
    <row r="44" spans="1:8" ht="15" customHeight="1" x14ac:dyDescent="0.45">
      <c r="A44" s="29" t="s">
        <v>94</v>
      </c>
      <c r="B44" s="39">
        <v>1985</v>
      </c>
      <c r="C44" s="40">
        <v>2044.55</v>
      </c>
      <c r="D44" s="41">
        <v>2143.8000000000002</v>
      </c>
    </row>
    <row r="45" spans="1:8" ht="15" customHeight="1" x14ac:dyDescent="0.45">
      <c r="A45" s="29" t="s">
        <v>95</v>
      </c>
      <c r="B45" s="39">
        <v>765</v>
      </c>
      <c r="C45" s="40">
        <v>567.95000000000005</v>
      </c>
      <c r="D45" s="41">
        <v>276.2</v>
      </c>
    </row>
    <row r="46" spans="1:8" ht="15" customHeight="1" x14ac:dyDescent="0.45">
      <c r="A46" s="29" t="s">
        <v>96</v>
      </c>
      <c r="B46" s="36">
        <v>0.2782</v>
      </c>
      <c r="C46" s="37">
        <v>0.21740000000000001</v>
      </c>
      <c r="D46" s="38">
        <v>0.11409999999999999</v>
      </c>
      <c r="H46" s="100" t="s">
        <v>495</v>
      </c>
    </row>
    <row r="47" spans="1:8" ht="15" customHeight="1" x14ac:dyDescent="0.45">
      <c r="A47" s="29" t="s">
        <v>97</v>
      </c>
      <c r="B47" s="39">
        <v>0</v>
      </c>
      <c r="C47" s="40">
        <f>C45-B45</f>
        <v>-197.04999999999995</v>
      </c>
      <c r="D47" s="41">
        <f>D45-B45</f>
        <v>-488.8</v>
      </c>
      <c r="H47" s="99" t="s">
        <v>498</v>
      </c>
    </row>
    <row r="50" spans="1:8" ht="19.5" customHeight="1" x14ac:dyDescent="0.45">
      <c r="A50" s="79" t="s">
        <v>98</v>
      </c>
      <c r="B50" s="79"/>
      <c r="C50" s="79"/>
      <c r="D50" s="79"/>
      <c r="E50" s="79"/>
      <c r="F50" s="79"/>
      <c r="G50" s="79"/>
      <c r="H50" s="79"/>
    </row>
    <row r="51" spans="1:8" ht="15" customHeight="1" x14ac:dyDescent="0.45">
      <c r="A51" s="80" t="s">
        <v>99</v>
      </c>
      <c r="B51" s="80"/>
      <c r="C51" s="80"/>
      <c r="D51" s="80"/>
      <c r="E51" s="80"/>
      <c r="F51" s="80"/>
      <c r="G51" s="80"/>
      <c r="H51" s="80"/>
    </row>
    <row r="52" spans="1:8" ht="30" customHeight="1" x14ac:dyDescent="0.45">
      <c r="A52" s="42" t="s">
        <v>100</v>
      </c>
      <c r="B52" s="43">
        <v>0</v>
      </c>
      <c r="C52" s="43">
        <v>0.03</v>
      </c>
      <c r="D52" s="43">
        <v>0.06</v>
      </c>
      <c r="E52" s="43">
        <v>0.09</v>
      </c>
      <c r="F52" s="43">
        <v>0.12</v>
      </c>
    </row>
    <row r="53" spans="1:8" ht="15" customHeight="1" x14ac:dyDescent="0.45">
      <c r="A53" s="43">
        <v>0</v>
      </c>
      <c r="B53" s="44">
        <v>765</v>
      </c>
      <c r="C53" s="44">
        <v>705.45</v>
      </c>
      <c r="D53" s="44">
        <v>645.9</v>
      </c>
      <c r="E53" s="44">
        <v>586.35</v>
      </c>
      <c r="F53" s="44">
        <v>526.79999999999995</v>
      </c>
      <c r="G53" s="101"/>
      <c r="H53" s="102"/>
    </row>
    <row r="54" spans="1:8" ht="15" customHeight="1" x14ac:dyDescent="0.45">
      <c r="A54" s="43">
        <v>-0.03</v>
      </c>
      <c r="B54" s="44">
        <v>682.5</v>
      </c>
      <c r="C54" s="44">
        <v>622.95000000000005</v>
      </c>
      <c r="D54" s="44">
        <v>563.4</v>
      </c>
      <c r="E54" s="44">
        <v>503.85</v>
      </c>
      <c r="F54" s="44">
        <v>444.3</v>
      </c>
    </row>
    <row r="55" spans="1:8" ht="15" customHeight="1" x14ac:dyDescent="0.45">
      <c r="A55" s="43">
        <v>-0.06</v>
      </c>
      <c r="B55" s="44">
        <v>600</v>
      </c>
      <c r="C55" s="44">
        <v>540.45000000000005</v>
      </c>
      <c r="D55" s="44">
        <v>480.9</v>
      </c>
      <c r="E55" s="44">
        <v>421.35</v>
      </c>
      <c r="F55" s="44">
        <v>361.8</v>
      </c>
    </row>
    <row r="56" spans="1:8" ht="15" customHeight="1" x14ac:dyDescent="0.45">
      <c r="A56" s="43">
        <v>-0.09</v>
      </c>
      <c r="B56" s="44">
        <v>517.5</v>
      </c>
      <c r="C56" s="44">
        <v>457.95</v>
      </c>
      <c r="D56" s="44">
        <v>398.4</v>
      </c>
      <c r="E56" s="44">
        <v>338.85</v>
      </c>
      <c r="F56" s="45">
        <v>279.3</v>
      </c>
    </row>
    <row r="57" spans="1:8" ht="15" customHeight="1" x14ac:dyDescent="0.45">
      <c r="A57" s="43">
        <v>-0.12</v>
      </c>
      <c r="B57" s="44">
        <v>435</v>
      </c>
      <c r="C57" s="44">
        <v>375.45</v>
      </c>
      <c r="D57" s="44">
        <v>315.89999999999998</v>
      </c>
      <c r="E57" s="45">
        <v>256.35000000000002</v>
      </c>
      <c r="F57" s="45">
        <v>196.8</v>
      </c>
    </row>
    <row r="58" spans="1:8" ht="15" customHeight="1" x14ac:dyDescent="0.45">
      <c r="A58" s="43">
        <v>-0.15</v>
      </c>
      <c r="B58" s="44">
        <v>352.5</v>
      </c>
      <c r="C58" s="45">
        <v>292.95</v>
      </c>
      <c r="D58" s="45">
        <v>233.4</v>
      </c>
      <c r="E58" s="45">
        <v>173.85</v>
      </c>
      <c r="F58" s="45">
        <v>114.3</v>
      </c>
    </row>
    <row r="60" spans="1:8" ht="30" customHeight="1" x14ac:dyDescent="0.45">
      <c r="A60" s="81" t="s">
        <v>101</v>
      </c>
      <c r="B60" s="81"/>
      <c r="C60" s="81"/>
      <c r="D60" s="81"/>
      <c r="E60" s="81"/>
      <c r="F60" s="81"/>
      <c r="G60" s="81"/>
      <c r="H60" s="81"/>
    </row>
  </sheetData>
  <mergeCells count="15">
    <mergeCell ref="A1:H1"/>
    <mergeCell ref="A2:H2"/>
    <mergeCell ref="A3:F3"/>
    <mergeCell ref="A4:F4"/>
    <mergeCell ref="A18:F18"/>
    <mergeCell ref="C19:E19"/>
    <mergeCell ref="C20:F20"/>
    <mergeCell ref="C21:F21"/>
    <mergeCell ref="A22:F22"/>
    <mergeCell ref="A24:F24"/>
    <mergeCell ref="A37:D37"/>
    <mergeCell ref="A39:F39"/>
    <mergeCell ref="A50:H50"/>
    <mergeCell ref="A51:H51"/>
    <mergeCell ref="A60:H6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4"/>
  <sheetViews>
    <sheetView showGridLines="0" zoomScale="81" zoomScaleNormal="90" workbookViewId="0">
      <selection activeCell="P1" sqref="P1"/>
    </sheetView>
  </sheetViews>
  <sheetFormatPr defaultColWidth="8.6640625" defaultRowHeight="14.25" x14ac:dyDescent="0.45"/>
  <cols>
    <col min="1" max="2" width="16" customWidth="1"/>
    <col min="3" max="7" width="14" customWidth="1"/>
    <col min="8" max="8" width="35" customWidth="1"/>
    <col min="9" max="9" width="10" customWidth="1"/>
    <col min="10" max="16" width="4" customWidth="1"/>
    <col min="17" max="17" width="14.33203125" bestFit="1" customWidth="1"/>
    <col min="18" max="18" width="16.86328125" customWidth="1"/>
    <col min="19" max="19" width="14" customWidth="1"/>
  </cols>
  <sheetData>
    <row r="1" spans="1:19" ht="25.5" customHeight="1" x14ac:dyDescent="0.45">
      <c r="A1" s="71" t="s">
        <v>102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54"/>
      <c r="P1" s="54"/>
    </row>
    <row r="2" spans="1:19" ht="20.25" x14ac:dyDescent="0.45">
      <c r="A2" s="70" t="s">
        <v>103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53"/>
      <c r="P2" s="53"/>
      <c r="Q2" s="5" t="s">
        <v>6</v>
      </c>
      <c r="R2" s="96" t="s">
        <v>496</v>
      </c>
      <c r="S2" s="96" t="s">
        <v>497</v>
      </c>
    </row>
    <row r="3" spans="1:19" ht="15" customHeight="1" x14ac:dyDescent="0.45">
      <c r="A3" s="73" t="s">
        <v>104</v>
      </c>
      <c r="B3" s="73"/>
      <c r="C3" s="73"/>
      <c r="D3" s="73"/>
      <c r="E3" s="73"/>
      <c r="F3" s="73"/>
      <c r="Q3" s="55" t="s">
        <v>14</v>
      </c>
      <c r="R3" s="56">
        <f>SUMPRODUCT((Raw_Export_Clean!$B$4:$B$195="FY24")*(Raw_Export_Clean!$E$4:$E$195="Product A")*Raw_Export_Clean!$F$4:$F$195)</f>
        <v>1380</v>
      </c>
      <c r="S3" s="56">
        <f>SUMPRODUCT((Raw_Export_Clean!$B$4:$B$195="FY24")*(Raw_Export_Clean!$E$4:$E$195="Product A")*Raw_Export_Clean!$G$4:$G$195)</f>
        <v>1436.59</v>
      </c>
    </row>
    <row r="4" spans="1:19" ht="18" customHeight="1" x14ac:dyDescent="0.45">
      <c r="A4" s="74" t="s">
        <v>105</v>
      </c>
      <c r="B4" s="74"/>
      <c r="C4" s="75" t="s">
        <v>106</v>
      </c>
      <c r="D4" s="75"/>
      <c r="F4" s="76" t="s">
        <v>107</v>
      </c>
      <c r="G4" s="76"/>
      <c r="H4" s="76" t="s">
        <v>108</v>
      </c>
      <c r="I4" s="76"/>
      <c r="Q4" s="55" t="s">
        <v>16</v>
      </c>
      <c r="R4" s="56">
        <f>SUMPRODUCT((Raw_Export_Clean!$B$4:$B$195="FY24")*(Raw_Export_Clean!$E$4:$E$195="Product B")*Raw_Export_Clean!$F$4:$F$195)</f>
        <v>770</v>
      </c>
      <c r="S4" s="56">
        <f>SUMPRODUCT((Raw_Export_Clean!$B$4:$B$195="FY24")*(Raw_Export_Clean!$E$4:$E$195="Product B")*Raw_Export_Clean!$G$4:$G$195)</f>
        <v>667.43000000000006</v>
      </c>
    </row>
    <row r="5" spans="1:19" ht="36" customHeight="1" x14ac:dyDescent="0.45">
      <c r="A5" s="64">
        <f>'Scenario Analysis'!C16</f>
        <v>765</v>
      </c>
      <c r="B5" s="64"/>
      <c r="C5" s="65">
        <f>'Scenario Analysis'!D16</f>
        <v>662.27999999999975</v>
      </c>
      <c r="D5" s="65"/>
      <c r="F5" s="66">
        <f>SUMPRODUCT((Raw_Export_Clean!$B$4:$B$195="FY24")*(Raw_Export_Clean!$E$4:$E$195="Product B")*(Raw_Export_Clean!$G$4:$G$195-Raw_Export_Clean!$F$4:$F$195))</f>
        <v>-102.57</v>
      </c>
      <c r="G5" s="66"/>
      <c r="H5" s="66">
        <f>315.9</f>
        <v>315.89999999999998</v>
      </c>
      <c r="I5" s="66"/>
      <c r="Q5" s="55" t="s">
        <v>18</v>
      </c>
      <c r="R5" s="56">
        <f>SUMPRODUCT((Raw_Export_Clean!$B$4:$B$195="FY24")*(Raw_Export_Clean!$E$4:$E$195="Services")*Raw_Export_Clean!$F$4:$F$195)</f>
        <v>600</v>
      </c>
      <c r="S5" s="56">
        <f>SUMPRODUCT((Raw_Export_Clean!$B$4:$B$195="FY24")*(Raw_Export_Clean!$E$4:$E$195="Services")*Raw_Export_Clean!$G$4:$G$195)</f>
        <v>668.16</v>
      </c>
    </row>
    <row r="6" spans="1:19" ht="36" customHeight="1" x14ac:dyDescent="0.45">
      <c r="A6" s="64"/>
      <c r="B6" s="64"/>
      <c r="C6" s="65"/>
      <c r="D6" s="65"/>
      <c r="F6" s="66"/>
      <c r="G6" s="66"/>
      <c r="H6" s="66"/>
      <c r="I6" s="66"/>
      <c r="Q6" s="55" t="s">
        <v>21</v>
      </c>
      <c r="R6" s="56">
        <f>SUMPRODUCT((Raw_Export_Clean!$B$4:$B$195="FY24")*(Raw_Export_Clean!$E$4:$E$195="Operations")*Raw_Export_Clean!$F$4:$F$195)</f>
        <v>1210</v>
      </c>
      <c r="S6" s="56">
        <f>SUMPRODUCT((Raw_Export_Clean!$B$4:$B$195="FY24")*(Raw_Export_Clean!$E$4:$E$195="Operations")*Raw_Export_Clean!$G$4:$G$195)</f>
        <v>1300.0300000000002</v>
      </c>
    </row>
    <row r="7" spans="1:19" ht="15.75" customHeight="1" x14ac:dyDescent="0.45">
      <c r="A7" s="67" t="s">
        <v>109</v>
      </c>
      <c r="B7" s="67"/>
      <c r="C7" s="68" t="s">
        <v>110</v>
      </c>
      <c r="D7" s="68"/>
      <c r="F7" s="69" t="s">
        <v>111</v>
      </c>
      <c r="G7" s="69"/>
      <c r="H7" s="69" t="s">
        <v>112</v>
      </c>
      <c r="I7" s="69"/>
      <c r="Q7" s="55" t="s">
        <v>23</v>
      </c>
      <c r="R7" s="56">
        <f>SUMPRODUCT((Raw_Export_Clean!$B$4:$B$195="FY24")*(Raw_Export_Clean!$E$4:$E$195="Sales")*Raw_Export_Clean!$F$4:$F$195)</f>
        <v>275</v>
      </c>
      <c r="S7" s="56">
        <f>SUMPRODUCT((Raw_Export_Clean!$B$4:$B$195="FY24")*(Raw_Export_Clean!$E$4:$E$195="Sales")*Raw_Export_Clean!$G$4:$G$195)</f>
        <v>278.07</v>
      </c>
    </row>
    <row r="8" spans="1:19" x14ac:dyDescent="0.45">
      <c r="Q8" s="55" t="s">
        <v>25</v>
      </c>
      <c r="R8" s="56">
        <f>SUMPRODUCT((Raw_Export_Clean!$B$4:$B$195="FY24")*(Raw_Export_Clean!$E$4:$E$195="Marketing")*Raw_Export_Clean!$F$4:$F$195)</f>
        <v>225</v>
      </c>
      <c r="S8" s="56">
        <f>SUMPRODUCT((Raw_Export_Clean!$B$4:$B$195="FY24")*(Raw_Export_Clean!$E$4:$E$195="Marketing")*Raw_Export_Clean!$G$4:$G$195)</f>
        <v>248.25</v>
      </c>
    </row>
    <row r="9" spans="1:19" x14ac:dyDescent="0.45">
      <c r="Q9" s="55" t="s">
        <v>27</v>
      </c>
      <c r="R9" s="56">
        <f>SUMPRODUCT((Raw_Export_Clean!$B$4:$B$195="FY24")*(Raw_Export_Clean!$E$4:$E$195="HR")*Raw_Export_Clean!$F$4:$F$195)</f>
        <v>165</v>
      </c>
      <c r="S9" s="56">
        <f>SUMPRODUCT((Raw_Export_Clean!$B$4:$B$195="FY24")*(Raw_Export_Clean!$E$4:$E$195="HR")*Raw_Export_Clean!$G$4:$G$195)</f>
        <v>172.41000000000003</v>
      </c>
    </row>
    <row r="10" spans="1:19" x14ac:dyDescent="0.45">
      <c r="Q10" s="55" t="s">
        <v>29</v>
      </c>
      <c r="R10" s="56">
        <f>SUMPRODUCT((Raw_Export_Clean!$B$4:$B$195="FY24")*(Raw_Export_Clean!$E$4:$E$195="Finance &amp; Admin")*Raw_Export_Clean!$F$4:$F$195)</f>
        <v>110</v>
      </c>
      <c r="S10" s="56">
        <f>SUMPRODUCT((Raw_Export_Clean!$B$4:$B$195="FY24")*(Raw_Export_Clean!$E$4:$E$195="Finance &amp; Admin")*Raw_Export_Clean!$G$4:$G$195)</f>
        <v>111.14</v>
      </c>
    </row>
    <row r="15" spans="1:19" x14ac:dyDescent="0.45">
      <c r="Q15" s="5" t="s">
        <v>2</v>
      </c>
      <c r="R15" s="96" t="s">
        <v>496</v>
      </c>
      <c r="S15" s="96" t="s">
        <v>497</v>
      </c>
    </row>
    <row r="16" spans="1:19" x14ac:dyDescent="0.45">
      <c r="Q16" s="55" t="s">
        <v>45</v>
      </c>
      <c r="R16" s="55">
        <f>SUMPRODUCT((Raw_Export_Clean!$A$4:$A$195="Apr-23")*(Raw_Export_Clean!$D$4:$D$195="Revenue")*Raw_Export_Clean!$F$4:$F$195)</f>
        <v>192.5</v>
      </c>
      <c r="S16" s="55">
        <f>SUMPRODUCT((Raw_Export_Clean!$A$4:$A$195="Apr-23")*(Raw_Export_Clean!$D$4:$D$195="Revenue")*Raw_Export_Clean!$G$4:$G$195)</f>
        <v>193.37</v>
      </c>
    </row>
    <row r="17" spans="17:19" x14ac:dyDescent="0.45">
      <c r="Q17" s="55" t="s">
        <v>47</v>
      </c>
      <c r="R17" s="55">
        <f>SUMPRODUCT((Raw_Export_Clean!$A$4:$A$195="May-23")*(Raw_Export_Clean!$D$4:$D$195="Revenue")*Raw_Export_Clean!$F$4:$F$195)</f>
        <v>192.5</v>
      </c>
      <c r="S17" s="55">
        <f>SUMPRODUCT((Raw_Export_Clean!$A$4:$A$195="May-23")*(Raw_Export_Clean!$D$4:$D$195="Revenue")*Raw_Export_Clean!$G$4:$G$195)</f>
        <v>192.28</v>
      </c>
    </row>
    <row r="18" spans="17:19" x14ac:dyDescent="0.45">
      <c r="Q18" s="55" t="s">
        <v>48</v>
      </c>
      <c r="R18" s="55">
        <f>SUMPRODUCT((Raw_Export_Clean!$A$4:$A$195="Jun-23")*(Raw_Export_Clean!$D$4:$D$195="Revenue")*Raw_Export_Clean!$F$4:$F$195)</f>
        <v>192.5</v>
      </c>
      <c r="S18" s="55">
        <f>SUMPRODUCT((Raw_Export_Clean!$A$4:$A$195="Jun-23")*(Raw_Export_Clean!$D$4:$D$195="Revenue")*Raw_Export_Clean!$G$4:$G$195)</f>
        <v>194.08999999999997</v>
      </c>
    </row>
    <row r="19" spans="17:19" x14ac:dyDescent="0.45">
      <c r="Q19" s="55" t="s">
        <v>49</v>
      </c>
      <c r="R19" s="55">
        <f>SUMPRODUCT((Raw_Export_Clean!$A$4:$A$195="Jul-23")*(Raw_Export_Clean!$D$4:$D$195="Revenue")*Raw_Export_Clean!$F$4:$F$195)</f>
        <v>220</v>
      </c>
      <c r="S19" s="55">
        <f>SUMPRODUCT((Raw_Export_Clean!$A$4:$A$195="Jul-23")*(Raw_Export_Clean!$D$4:$D$195="Revenue")*Raw_Export_Clean!$G$4:$G$195)</f>
        <v>221.81</v>
      </c>
    </row>
    <row r="20" spans="17:19" x14ac:dyDescent="0.45">
      <c r="Q20" s="55" t="s">
        <v>50</v>
      </c>
      <c r="R20" s="55">
        <f>SUMPRODUCT((Raw_Export_Clean!$A$4:$A$195="Aug-23")*(Raw_Export_Clean!$D$4:$D$195="Revenue")*Raw_Export_Clean!$F$4:$F$195)</f>
        <v>220</v>
      </c>
      <c r="S20" s="55">
        <f>SUMPRODUCT((Raw_Export_Clean!$A$4:$A$195="Aug-23")*(Raw_Export_Clean!$D$4:$D$195="Revenue")*Raw_Export_Clean!$G$4:$G$195)</f>
        <v>219</v>
      </c>
    </row>
    <row r="21" spans="17:19" x14ac:dyDescent="0.45">
      <c r="Q21" s="55" t="s">
        <v>51</v>
      </c>
      <c r="R21" s="55">
        <f>SUMPRODUCT((Raw_Export_Clean!$A$4:$A$195="Sep-23")*(Raw_Export_Clean!$D$4:$D$195="Revenue")*Raw_Export_Clean!$F$4:$F$195)</f>
        <v>220</v>
      </c>
      <c r="S21" s="55">
        <f>SUMPRODUCT((Raw_Export_Clean!$A$4:$A$195="Sep-23")*(Raw_Export_Clean!$D$4:$D$195="Revenue")*Raw_Export_Clean!$G$4:$G$195)</f>
        <v>222.79</v>
      </c>
    </row>
    <row r="22" spans="17:19" x14ac:dyDescent="0.45">
      <c r="Q22" s="55" t="s">
        <v>52</v>
      </c>
      <c r="R22" s="55">
        <f>SUMPRODUCT((Raw_Export_Clean!$A$4:$A$195="Oct-23")*(Raw_Export_Clean!$D$4:$D$195="Revenue")*Raw_Export_Clean!$F$4:$F$195)</f>
        <v>275</v>
      </c>
      <c r="S22" s="55">
        <f>SUMPRODUCT((Raw_Export_Clean!$A$4:$A$195="Oct-23")*(Raw_Export_Clean!$D$4:$D$195="Revenue")*Raw_Export_Clean!$G$4:$G$195)</f>
        <v>278.92</v>
      </c>
    </row>
    <row r="23" spans="17:19" x14ac:dyDescent="0.45">
      <c r="Q23" s="55" t="s">
        <v>53</v>
      </c>
      <c r="R23" s="55">
        <f>SUMPRODUCT((Raw_Export_Clean!$A$4:$A$195="Nov-23")*(Raw_Export_Clean!$D$4:$D$195="Revenue")*Raw_Export_Clean!$F$4:$F$195)</f>
        <v>302.5</v>
      </c>
      <c r="S23" s="55">
        <f>SUMPRODUCT((Raw_Export_Clean!$A$4:$A$195="Nov-23")*(Raw_Export_Clean!$D$4:$D$195="Revenue")*Raw_Export_Clean!$G$4:$G$195)</f>
        <v>308.52</v>
      </c>
    </row>
    <row r="24" spans="17:19" x14ac:dyDescent="0.45">
      <c r="Q24" s="55" t="s">
        <v>54</v>
      </c>
      <c r="R24" s="55">
        <f>SUMPRODUCT((Raw_Export_Clean!$A$4:$A$195="Dec-23")*(Raw_Export_Clean!$D$4:$D$195="Revenue")*Raw_Export_Clean!$F$4:$F$195)</f>
        <v>275</v>
      </c>
      <c r="S24" s="55">
        <f>SUMPRODUCT((Raw_Export_Clean!$A$4:$A$195="Dec-23")*(Raw_Export_Clean!$D$4:$D$195="Revenue")*Raw_Export_Clean!$G$4:$G$195)</f>
        <v>275.57000000000005</v>
      </c>
    </row>
    <row r="25" spans="17:19" x14ac:dyDescent="0.45">
      <c r="Q25" s="55" t="s">
        <v>55</v>
      </c>
      <c r="R25" s="55">
        <f>SUMPRODUCT((Raw_Export_Clean!$A$4:$A$195="Jan-24")*(Raw_Export_Clean!$D$4:$D$195="Revenue")*Raw_Export_Clean!$F$4:$F$195)</f>
        <v>247.5</v>
      </c>
      <c r="S25" s="55">
        <f>SUMPRODUCT((Raw_Export_Clean!$A$4:$A$195="Jan-24")*(Raw_Export_Clean!$D$4:$D$195="Revenue")*Raw_Export_Clean!$G$4:$G$195)</f>
        <v>251.03</v>
      </c>
    </row>
    <row r="26" spans="17:19" x14ac:dyDescent="0.45">
      <c r="Q26" s="55" t="s">
        <v>56</v>
      </c>
      <c r="R26" s="55">
        <f>SUMPRODUCT((Raw_Export_Clean!$A$4:$A$195="Feb-24")*(Raw_Export_Clean!$D$4:$D$195="Revenue")*Raw_Export_Clean!$F$4:$F$195)</f>
        <v>220</v>
      </c>
      <c r="S26" s="55">
        <f>SUMPRODUCT((Raw_Export_Clean!$A$4:$A$195="Feb-24")*(Raw_Export_Clean!$D$4:$D$195="Revenue")*Raw_Export_Clean!$G$4:$G$195)</f>
        <v>220.32</v>
      </c>
    </row>
    <row r="27" spans="17:19" x14ac:dyDescent="0.45">
      <c r="Q27" s="55" t="s">
        <v>57</v>
      </c>
      <c r="R27" s="55">
        <f>SUMPRODUCT((Raw_Export_Clean!$A$4:$A$195="Mar-24")*(Raw_Export_Clean!$D$4:$D$195="Revenue")*Raw_Export_Clean!$F$4:$F$195)</f>
        <v>192.5</v>
      </c>
      <c r="S27" s="55">
        <f>SUMPRODUCT((Raw_Export_Clean!$A$4:$A$195="Mar-24")*(Raw_Export_Clean!$D$4:$D$195="Revenue")*Raw_Export_Clean!$G$4:$G$195)</f>
        <v>194.48000000000002</v>
      </c>
    </row>
    <row r="33" spans="1:9" ht="19.5" customHeight="1" x14ac:dyDescent="0.45">
      <c r="A33" s="61" t="s">
        <v>113</v>
      </c>
      <c r="B33" s="61"/>
      <c r="C33" s="61"/>
      <c r="D33" s="61"/>
      <c r="E33" s="61"/>
      <c r="F33" s="61"/>
      <c r="G33" s="61"/>
      <c r="H33" s="61"/>
      <c r="I33" s="61"/>
    </row>
    <row r="34" spans="1:9" ht="18" customHeight="1" x14ac:dyDescent="0.45">
      <c r="A34" s="2" t="s">
        <v>6</v>
      </c>
      <c r="B34" s="2" t="s">
        <v>5</v>
      </c>
      <c r="C34" s="2" t="s">
        <v>114</v>
      </c>
      <c r="D34" s="2" t="s">
        <v>115</v>
      </c>
      <c r="E34" s="2" t="s">
        <v>116</v>
      </c>
      <c r="F34" s="2" t="s">
        <v>117</v>
      </c>
      <c r="G34" s="2" t="s">
        <v>118</v>
      </c>
      <c r="H34" s="62" t="s">
        <v>119</v>
      </c>
      <c r="I34" s="63"/>
    </row>
    <row r="35" spans="1:9" ht="27.75" customHeight="1" x14ac:dyDescent="0.45">
      <c r="A35" s="46" t="s">
        <v>14</v>
      </c>
      <c r="B35" s="47" t="s">
        <v>13</v>
      </c>
      <c r="C35" s="48">
        <f>SUMPRODUCT((Raw_Export_Clean!$B$4:$B$195="FY24")*(Raw_Export_Clean!$E$4:$E$195="Product A")*Raw_Export_Clean!$F$4:$F$195)</f>
        <v>1380</v>
      </c>
      <c r="D35" s="48">
        <f>SUMPRODUCT((Raw_Export_Clean!$B$4:$B$195="FY24")*(Raw_Export_Clean!$E$4:$E$195="Product A")*Raw_Export_Clean!$G$4:$G$195)</f>
        <v>1436.59</v>
      </c>
      <c r="E35" s="49">
        <f t="shared" ref="E35:E42" si="0">D35-C35</f>
        <v>56.589999999999918</v>
      </c>
      <c r="F35" s="50">
        <f t="shared" ref="F35:F42" si="1">IF(C35&lt;&gt;0,(D35-C35)/C35,0)</f>
        <v>4.1007246376811538E-2</v>
      </c>
      <c r="G35" s="51" t="s">
        <v>120</v>
      </c>
      <c r="H35" s="59" t="s">
        <v>121</v>
      </c>
      <c r="I35" s="59"/>
    </row>
    <row r="36" spans="1:9" ht="27.75" customHeight="1" x14ac:dyDescent="0.45">
      <c r="A36" s="46" t="s">
        <v>16</v>
      </c>
      <c r="B36" s="47" t="s">
        <v>13</v>
      </c>
      <c r="C36" s="48">
        <f>SUMPRODUCT((Raw_Export_Clean!$B$4:$B$195="FY24")*(Raw_Export_Clean!$E$4:$E$195="Product B")*Raw_Export_Clean!$F$4:$F$195)</f>
        <v>770</v>
      </c>
      <c r="D36" s="48">
        <f>SUMPRODUCT((Raw_Export_Clean!$B$4:$B$195="FY24")*(Raw_Export_Clean!$E$4:$E$195="Product B")*Raw_Export_Clean!$G$4:$G$195)</f>
        <v>667.43000000000006</v>
      </c>
      <c r="E36" s="49">
        <f t="shared" si="0"/>
        <v>-102.56999999999994</v>
      </c>
      <c r="F36" s="50">
        <f t="shared" si="1"/>
        <v>-0.13320779220779214</v>
      </c>
      <c r="G36" s="1" t="s">
        <v>122</v>
      </c>
      <c r="H36" s="58" t="s">
        <v>123</v>
      </c>
      <c r="I36" s="58"/>
    </row>
    <row r="37" spans="1:9" ht="27.75" customHeight="1" x14ac:dyDescent="0.45">
      <c r="A37" s="46" t="s">
        <v>18</v>
      </c>
      <c r="B37" s="47" t="s">
        <v>13</v>
      </c>
      <c r="C37" s="48">
        <f>SUMPRODUCT((Raw_Export_Clean!$B$4:$B$195="FY24")*(Raw_Export_Clean!$E$4:$E$195="Services")*Raw_Export_Clean!$F$4:$F$195)</f>
        <v>600</v>
      </c>
      <c r="D37" s="48">
        <f>SUMPRODUCT((Raw_Export_Clean!$B$4:$B$195="FY24")*(Raw_Export_Clean!$E$4:$E$195="Services")*Raw_Export_Clean!$G$4:$G$195)</f>
        <v>668.16</v>
      </c>
      <c r="E37" s="49">
        <f t="shared" si="0"/>
        <v>68.159999999999968</v>
      </c>
      <c r="F37" s="50">
        <f t="shared" si="1"/>
        <v>0.11359999999999995</v>
      </c>
      <c r="G37" s="51" t="s">
        <v>120</v>
      </c>
      <c r="H37" s="59" t="s">
        <v>124</v>
      </c>
      <c r="I37" s="59"/>
    </row>
    <row r="38" spans="1:9" ht="27.75" customHeight="1" x14ac:dyDescent="0.45">
      <c r="A38" s="46" t="s">
        <v>21</v>
      </c>
      <c r="B38" s="47" t="s">
        <v>20</v>
      </c>
      <c r="C38" s="48">
        <f>SUMPRODUCT((Raw_Export_Clean!$B$4:$B$195="FY24")*(Raw_Export_Clean!$E$4:$E$195="Operations")*Raw_Export_Clean!$F$4:$F$195)</f>
        <v>1210</v>
      </c>
      <c r="D38" s="48">
        <f>SUMPRODUCT((Raw_Export_Clean!$B$4:$B$195="FY24")*(Raw_Export_Clean!$E$4:$E$195="Operations")*Raw_Export_Clean!$G$4:$G$195)</f>
        <v>1300.0300000000002</v>
      </c>
      <c r="E38" s="49">
        <f t="shared" si="0"/>
        <v>90.0300000000002</v>
      </c>
      <c r="F38" s="50">
        <f t="shared" si="1"/>
        <v>7.4404958677686123E-2</v>
      </c>
      <c r="G38" s="1" t="s">
        <v>122</v>
      </c>
      <c r="H38" s="58" t="s">
        <v>125</v>
      </c>
      <c r="I38" s="58"/>
    </row>
    <row r="39" spans="1:9" ht="27.75" customHeight="1" x14ac:dyDescent="0.45">
      <c r="A39" s="46" t="s">
        <v>23</v>
      </c>
      <c r="B39" s="47" t="s">
        <v>20</v>
      </c>
      <c r="C39" s="48">
        <f>SUMPRODUCT((Raw_Export_Clean!$B$4:$B$195="FY24")*(Raw_Export_Clean!$E$4:$E$195="Sales")*Raw_Export_Clean!$F$4:$F$195)</f>
        <v>275</v>
      </c>
      <c r="D39" s="48">
        <f>SUMPRODUCT((Raw_Export_Clean!$B$4:$B$195="FY24")*(Raw_Export_Clean!$E$4:$E$195="Sales")*Raw_Export_Clean!$G$4:$G$195)</f>
        <v>278.07</v>
      </c>
      <c r="E39" s="49">
        <f t="shared" si="0"/>
        <v>3.0699999999999932</v>
      </c>
      <c r="F39" s="50">
        <f t="shared" si="1"/>
        <v>1.1163636363636339E-2</v>
      </c>
      <c r="G39" s="52" t="s">
        <v>126</v>
      </c>
      <c r="H39" s="57" t="s">
        <v>127</v>
      </c>
      <c r="I39" s="57"/>
    </row>
    <row r="40" spans="1:9" ht="27.75" customHeight="1" x14ac:dyDescent="0.45">
      <c r="A40" s="46" t="s">
        <v>25</v>
      </c>
      <c r="B40" s="47" t="s">
        <v>20</v>
      </c>
      <c r="C40" s="48">
        <f>SUMPRODUCT((Raw_Export_Clean!$B$4:$B$195="FY24")*(Raw_Export_Clean!$E$4:$E$195="Marketing")*Raw_Export_Clean!$F$4:$F$195)</f>
        <v>225</v>
      </c>
      <c r="D40" s="48">
        <f>SUMPRODUCT((Raw_Export_Clean!$B$4:$B$195="FY24")*(Raw_Export_Clean!$E$4:$E$195="Marketing")*Raw_Export_Clean!$G$4:$G$195)</f>
        <v>248.25</v>
      </c>
      <c r="E40" s="49">
        <f t="shared" si="0"/>
        <v>23.25</v>
      </c>
      <c r="F40" s="50">
        <f t="shared" si="1"/>
        <v>0.10333333333333333</v>
      </c>
      <c r="G40" s="1" t="s">
        <v>122</v>
      </c>
      <c r="H40" s="58" t="s">
        <v>128</v>
      </c>
      <c r="I40" s="58"/>
    </row>
    <row r="41" spans="1:9" ht="27.75" customHeight="1" x14ac:dyDescent="0.45">
      <c r="A41" s="46" t="s">
        <v>27</v>
      </c>
      <c r="B41" s="47" t="s">
        <v>20</v>
      </c>
      <c r="C41" s="48">
        <f>SUMPRODUCT((Raw_Export_Clean!$B$4:$B$195="FY24")*(Raw_Export_Clean!$E$4:$E$195="HR")*Raw_Export_Clean!$F$4:$F$195)</f>
        <v>165</v>
      </c>
      <c r="D41" s="48">
        <f>SUMPRODUCT((Raw_Export_Clean!$B$4:$B$195="FY24")*(Raw_Export_Clean!$E$4:$E$195="HR")*Raw_Export_Clean!$G$4:$G$195)</f>
        <v>172.41000000000003</v>
      </c>
      <c r="E41" s="49">
        <f t="shared" si="0"/>
        <v>7.410000000000025</v>
      </c>
      <c r="F41" s="50">
        <f t="shared" si="1"/>
        <v>4.4909090909091058E-2</v>
      </c>
      <c r="G41" s="52" t="s">
        <v>126</v>
      </c>
      <c r="H41" s="57" t="s">
        <v>129</v>
      </c>
      <c r="I41" s="57"/>
    </row>
    <row r="42" spans="1:9" ht="27.75" customHeight="1" x14ac:dyDescent="0.45">
      <c r="A42" s="46" t="s">
        <v>29</v>
      </c>
      <c r="B42" s="47" t="s">
        <v>20</v>
      </c>
      <c r="C42" s="48">
        <f>SUMPRODUCT((Raw_Export_Clean!$B$4:$B$195="FY24")*(Raw_Export_Clean!$E$4:$E$195="Finance &amp; Admin")*Raw_Export_Clean!$F$4:$F$195)</f>
        <v>110</v>
      </c>
      <c r="D42" s="48">
        <f>SUMPRODUCT((Raw_Export_Clean!$B$4:$B$195="FY24")*(Raw_Export_Clean!$E$4:$E$195="Finance &amp; Admin")*Raw_Export_Clean!$G$4:$G$195)</f>
        <v>111.14</v>
      </c>
      <c r="E42" s="49">
        <f t="shared" si="0"/>
        <v>1.1400000000000006</v>
      </c>
      <c r="F42" s="50">
        <f t="shared" si="1"/>
        <v>1.0363636363636368E-2</v>
      </c>
      <c r="G42" s="51" t="s">
        <v>120</v>
      </c>
      <c r="H42" s="59" t="s">
        <v>130</v>
      </c>
      <c r="I42" s="59"/>
    </row>
    <row r="43" spans="1:9" ht="24" customHeight="1" x14ac:dyDescent="0.45">
      <c r="A43" s="60" t="s">
        <v>131</v>
      </c>
      <c r="B43" s="60"/>
      <c r="C43" s="60"/>
      <c r="D43" s="60"/>
      <c r="E43" s="60"/>
      <c r="F43" s="60"/>
      <c r="G43" s="60"/>
      <c r="H43" s="60"/>
      <c r="I43" s="60"/>
    </row>
    <row r="44" spans="1:9" ht="24" customHeight="1" x14ac:dyDescent="0.45">
      <c r="A44" s="60"/>
      <c r="B44" s="60"/>
      <c r="C44" s="60"/>
      <c r="D44" s="60"/>
      <c r="E44" s="60"/>
      <c r="F44" s="60"/>
      <c r="G44" s="60"/>
      <c r="H44" s="60"/>
      <c r="I44" s="60"/>
    </row>
  </sheetData>
  <mergeCells count="26">
    <mergeCell ref="A2:N2"/>
    <mergeCell ref="A1:N1"/>
    <mergeCell ref="A3:F3"/>
    <mergeCell ref="A4:B4"/>
    <mergeCell ref="C4:D4"/>
    <mergeCell ref="F4:G4"/>
    <mergeCell ref="H4:I4"/>
    <mergeCell ref="A5:B6"/>
    <mergeCell ref="C5:D6"/>
    <mergeCell ref="F5:G6"/>
    <mergeCell ref="H5:I6"/>
    <mergeCell ref="A7:B7"/>
    <mergeCell ref="C7:D7"/>
    <mergeCell ref="F7:G7"/>
    <mergeCell ref="H7:I7"/>
    <mergeCell ref="A33:I33"/>
    <mergeCell ref="H35:I35"/>
    <mergeCell ref="H36:I36"/>
    <mergeCell ref="H37:I37"/>
    <mergeCell ref="H38:I38"/>
    <mergeCell ref="H34:I34"/>
    <mergeCell ref="H39:I39"/>
    <mergeCell ref="H40:I40"/>
    <mergeCell ref="H41:I41"/>
    <mergeCell ref="H42:I42"/>
    <mergeCell ref="A43:I44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2F936B-170E-4FDE-B602-2EE38C6CF9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Raw_Export</vt:lpstr>
      <vt:lpstr>Raw_Export_Clean</vt:lpstr>
      <vt:lpstr>Raw_Export_Cleaned</vt:lpstr>
      <vt:lpstr>Variance Engine</vt:lpstr>
      <vt:lpstr>Scenario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Rahul Bhagat</cp:lastModifiedBy>
  <cp:revision>1</cp:revision>
  <dcterms:created xsi:type="dcterms:W3CDTF">2026-04-13T09:23:51Z</dcterms:created>
  <dcterms:modified xsi:type="dcterms:W3CDTF">2026-08-08T12:32:17Z</dcterms:modified>
  <dc:language>en-US</dc:language>
</cp:coreProperties>
</file>